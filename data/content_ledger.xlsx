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95fa4dba4b4a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仪表盘" sheetId="1" r:id="Ra8db488ef4434800"/>
    <x:sheet xmlns:r="http://schemas.openxmlformats.org/officeDocument/2006/relationships" name="内容实验台账" sheetId="2" r:id="Raeb19799824f4787"/>
    <x:sheet xmlns:r="http://schemas.openxmlformats.org/officeDocument/2006/relationships" name="选题实验" sheetId="3" r:id="Rf15e23f9391846bb"/>
    <x:sheet xmlns:r="http://schemas.openxmlformats.org/officeDocument/2006/relationships" name="资源交付" sheetId="4" r:id="R8f071c16170348f5"/>
    <x:sheet xmlns:r="http://schemas.openxmlformats.org/officeDocument/2006/relationships" name="内容评分规则" sheetId="5" r:id="R39e18487c1904c56"/>
    <x:sheet xmlns:r="http://schemas.openxmlformats.org/officeDocument/2006/relationships" name="创作者档案" sheetId="6" r:id="R2f6244fab5a846fd"/>
    <x:sheet xmlns:r="http://schemas.openxmlformats.org/officeDocument/2006/relationships" name="历史-内容台账" sheetId="7" r:id="Rab221e7309454a78"/>
    <x:sheet xmlns:r="http://schemas.openxmlformats.org/officeDocument/2006/relationships" name="历史-候选评分" sheetId="8" r:id="R8a086634cc5d490f"/>
    <x:sheet xmlns:r="http://schemas.openxmlformats.org/officeDocument/2006/relationships" name="历史-每周复盘" sheetId="9" r:id="R6106401461884d92"/>
    <x:sheet xmlns:r="http://schemas.openxmlformats.org/officeDocument/2006/relationships" name="历史-评分规则" sheetId="10" r:id="Reab9b90f276149fd"/>
    <x:sheet xmlns:r="http://schemas.openxmlformats.org/officeDocument/2006/relationships" name="历史-成长内容台账" sheetId="11" r:id="R4bffa679355c49c9"/>
    <x:sheet xmlns:r="http://schemas.openxmlformats.org/officeDocument/2006/relationships" name="历史-成长选题评分" sheetId="12" r:id="R1c49b7b4f81b425a"/>
    <x:sheet xmlns:r="http://schemas.openxmlformats.org/officeDocument/2006/relationships" name="历史-双重复盘" sheetId="13" r:id="R256ab902bc544587"/>
    <x:sheet xmlns:r="http://schemas.openxmlformats.org/officeDocument/2006/relationships" name="历史-成长评分规则" sheetId="14" r:id="Rc20f1b413602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.0%"/>
    <x:numFmt numFmtId="202" formatCode="0.0"/>
    <x:numFmt numFmtId="203" formatCode="0.00%"/>
    <x:numFmt numFmtId="204" formatCode="yyyy-mm-dd"/>
    <x:numFmt numFmtId="205" formatCode="0%"/>
    <x:numFmt numFmtId="206" formatCode="0"/>
    <x:numFmt numFmtId="207" formatCode="0.00"/>
  </x:numFmts>
  <x:fonts count="10">
    <x:font>
      <x:sz val="11"/>
      <x:name val="Carlito"/>
    </x:font>
    <x:font>
      <x:b/>
      <x:sz val="18"/>
      <x:color rgb="FFFFFFFF"/>
      <x:name val="Carlito"/>
    </x:font>
    <x:font>
      <x:sz val="11"/>
      <x:color rgb="FF173652"/>
      <x:name val="Carlito"/>
    </x:font>
    <x:font>
      <x:b/>
      <x:sz val="11"/>
      <x:color rgb="FFFFFFFF"/>
      <x:name val="Carlito"/>
    </x:font>
    <x:font>
      <x:b/>
      <x:sz val="11"/>
      <x:color rgb="FF1B7F7A"/>
      <x:name val="Carlito"/>
    </x:font>
    <x:font>
      <x:b/>
      <x:sz val="11"/>
      <x:color rgb="FF8A1C16"/>
      <x:name val="Carlito"/>
    </x:font>
    <x:font>
      <x:b/>
      <x:sz val="14"/>
      <x:color rgb="FFFFFFFF"/>
      <x:name val="Carlito"/>
    </x:font>
    <x:font>
      <x:sz val="11"/>
      <x:color rgb="FF4C5661"/>
      <x:name val="Carlito"/>
    </x:font>
    <x:font>
      <x:sz val="9"/>
      <x:color rgb="FF4C5661"/>
      <x:name val="Carlito"/>
    </x:font>
    <x:font>
      <x:b/>
      <x:sz val="9"/>
      <x:color rgb="FF273746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2"/>
      </x:patternFill>
    </x:fill>
    <x:fill>
      <x:patternFill patternType="solid">
        <x:fgColor rgb="FFEAF3F8"/>
      </x:patternFill>
    </x:fill>
    <x:fill>
      <x:patternFill patternType="solid">
        <x:fgColor rgb="FFE8F5F2"/>
      </x:patternFill>
    </x:fill>
    <x:fill>
      <x:patternFill patternType="solid">
        <x:fgColor rgb="FF2F75A5"/>
      </x:patternFill>
    </x:fill>
    <x:fill>
      <x:patternFill patternType="solid">
        <x:fgColor rgb="FF1B7F7A"/>
      </x:patternFill>
    </x:fill>
    <x:fill>
      <x:patternFill patternType="solid">
        <x:fgColor rgb="FFF4F6F8"/>
      </x:patternFill>
    </x:fill>
    <x:fill>
      <x:patternFill patternType="solid">
        <x:fgColor rgb="FFFFF4CC"/>
      </x:patternFill>
    </x:fill>
    <x:fill>
      <x:patternFill patternType="solid">
        <x:fgColor rgb="FF5C6770"/>
      </x:patternFill>
    </x:fill>
    <x:fill>
      <x:patternFill patternType="solid">
        <x:fgColor rgb="FFFCE8E6"/>
      </x:patternFill>
    </x:fill>
    <x:fill>
      <x:patternFill patternType="solid">
        <x:fgColor rgb="FFD9E1E8"/>
      </x:patternFill>
    </x:fill>
  </x:fills>
  <x:borders count="11">
    <x:border/>
    <x:border>
      <x:left style="thin">
        <x:color rgb="FFD7E0E7"/>
      </x:left>
      <x:top style="thin">
        <x:color rgb="FFD7E0E7"/>
      </x:top>
      <x:bottom style="thin">
        <x:color rgb="FFD7E0E7"/>
      </x:bottom>
    </x:border>
    <x:border>
      <x:top style="thin">
        <x:color rgb="FFD7E0E7"/>
      </x:top>
      <x:bottom style="thin">
        <x:color rgb="FFD7E0E7"/>
      </x:bottom>
    </x:border>
    <x:border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right style="thin">
        <x:color rgb="FFD7E0E7"/>
      </x:right>
      <x:bottom style="thin">
        <x:color rgb="FFD7E0E7"/>
      </x:bottom>
    </x:border>
    <x:border>
      <x:left style="thin">
        <x:color rgb="FFD7E0E7"/>
      </x:left>
      <x:right style="thin">
        <x:color rgb="FFD7E0E7"/>
      </x:right>
      <x:bottom style="thin">
        <x:color rgb="FFD7E0E7"/>
      </x:bottom>
    </x:border>
    <x:border>
      <x:left style="thin">
        <x:color rgb="FFD7E0E7"/>
      </x:left>
      <x:bottom style="thin">
        <x:color rgb="FFD7E0E7"/>
      </x:bottom>
    </x:border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  <x:border>
      <x:right style="thin">
        <x:color rgb="FFD7E0E7"/>
      </x:right>
      <x:top style="thin">
        <x:color rgb="FFD7E0E7"/>
      </x:top>
    </x:border>
    <x:border>
      <x:left style="thin">
        <x:color rgb="FFD7E0E7"/>
      </x:left>
      <x:right style="thin">
        <x:color rgb="FFD7E0E7"/>
      </x:right>
      <x:top style="thin">
        <x:color rgb="FFD7E0E7"/>
      </x:top>
    </x:border>
    <x:border>
      <x:left style="thin">
        <x:color rgb="FFD7E0E7"/>
      </x:left>
      <x:top style="thin">
        <x:color rgb="FFD7E0E7"/>
      </x:top>
    </x:border>
  </x:borders>
  <x:cellStyleXfs count="1">
    <x:xf numFmtId="0" fontId="0" fillId="0" borderId="0"/>
  </x:cellStyleXfs>
  <x:cellXfs count="1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1" fontId="4" fillId="4" borderId="0" xfId="0" applyNumberFormat="1" applyFont="1" applyFill="1" applyBorder="1" applyAlignment="1">
      <x:alignment vertical="center" wrapText="1"/>
    </x:xf>
    <x:xf numFmtId="202" fontId="4" fillId="4" borderId="0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2" xfId="0" applyNumberFormat="1" applyFont="1" applyFill="1" applyBorder="1" applyAlignment="1">
      <x:alignment wrapText="1"/>
    </x:xf>
    <x:xf numFmtId="0" fontId="3" fillId="5" borderId="3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" xfId="0" applyNumberFormat="1" applyFont="1" applyFill="1" applyBorder="1" applyAlignment="1">
      <x:alignment vertical="center" wrapText="1"/>
    </x:xf>
    <x:xf numFmtId="0" fontId="3" fillId="5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3" fillId="6" borderId="3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9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203" fontId="0" fillId="0" borderId="7" xfId="0" applyNumberFormat="1" applyFont="1" applyFill="1" applyBorder="1" applyAlignment="1">
      <x:alignment vertical="center" wrapText="1"/>
    </x:xf>
    <x:xf numFmtId="203" fontId="0" fillId="0" borderId="9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vertical="center" wrapText="1"/>
    </x:xf>
    <x:xf numFmtId="0" fontId="0" fillId="7" borderId="5" xfId="0" applyNumberFormat="1" applyFont="1" applyFill="1" applyBorder="1" applyAlignment="1">
      <x:alignment vertical="center" wrapText="1"/>
    </x:xf>
    <x:xf numFmtId="0" fontId="0" fillId="7" borderId="6" xfId="0" applyNumberFormat="1" applyFont="1" applyFill="1" applyBorder="1" applyAlignment="1">
      <x:alignment vertical="center" wrapText="1"/>
    </x:xf>
    <x:xf numFmtId="0" fontId="0" fillId="7" borderId="3" xfId="0" applyNumberFormat="1" applyFont="1" applyFill="1" applyBorder="1" applyAlignment="1">
      <x:alignment vertical="center" wrapText="1"/>
    </x:xf>
    <x:xf numFmtId="0" fontId="0" fillId="7" borderId="7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4" borderId="10" xfId="0" applyNumberFormat="1" applyFont="1" applyFill="1" applyBorder="1" applyAlignment="1">
      <x:alignment vertical="center" wrapText="1"/>
    </x:xf>
    <x:xf numFmtId="204" fontId="0" fillId="7" borderId="5" xfId="0" applyNumberFormat="1" applyFont="1" applyFill="1" applyBorder="1" applyAlignment="1">
      <x:alignment vertical="center" wrapText="1"/>
    </x:xf>
    <x:xf numFmtId="204" fontId="0" fillId="7" borderId="7" xfId="0" applyNumberFormat="1" applyFont="1" applyFill="1" applyBorder="1" applyAlignment="1">
      <x:alignment vertical="center" wrapText="1"/>
    </x:xf>
    <x:xf numFmtId="204" fontId="0" fillId="4" borderId="7" xfId="0" applyNumberFormat="1" applyFont="1" applyFill="1" applyBorder="1" applyAlignment="1">
      <x:alignment vertical="center" wrapText="1"/>
    </x:xf>
    <x:xf numFmtId="204" fontId="0" fillId="4" borderId="9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0" fontId="0" fillId="7" borderId="5" xfId="0" applyNumberFormat="1" applyFont="1" applyFill="1" applyBorder="1" applyAlignment="1">
      <x:alignment vertical="center" wrapText="1"/>
    </x:xf>
    <x:xf numFmtId="200" fontId="0" fillId="7" borderId="7" xfId="0" applyNumberFormat="1" applyFont="1" applyFill="1" applyBorder="1" applyAlignment="1">
      <x:alignment vertical="center" wrapText="1"/>
    </x:xf>
    <x:xf numFmtId="200" fontId="0" fillId="4" borderId="7" xfId="0" applyNumberFormat="1" applyFont="1" applyFill="1" applyBorder="1" applyAlignment="1">
      <x:alignment vertical="center" wrapText="1"/>
    </x:xf>
    <x:xf numFmtId="200" fontId="0" fillId="4" borderId="9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7" borderId="5" xfId="0" applyNumberFormat="1" applyFont="1" applyFill="1" applyBorder="1" applyAlignment="1">
      <x:alignment vertical="center" wrapText="1"/>
    </x:xf>
    <x:xf numFmtId="201" fontId="0" fillId="7" borderId="7" xfId="0" applyNumberFormat="1" applyFont="1" applyFill="1" applyBorder="1" applyAlignment="1">
      <x:alignment vertical="center" wrapText="1"/>
    </x:xf>
    <x:xf numFmtId="201" fontId="0" fillId="4" borderId="7" xfId="0" applyNumberFormat="1" applyFont="1" applyFill="1" applyBorder="1" applyAlignment="1">
      <x:alignment vertical="center" wrapText="1"/>
    </x:xf>
    <x:xf numFmtId="201" fontId="0" fillId="4" borderId="9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2" fontId="0" fillId="7" borderId="5" xfId="0" applyNumberFormat="1" applyFont="1" applyFill="1" applyBorder="1" applyAlignment="1">
      <x:alignment vertical="center" wrapText="1"/>
    </x:xf>
    <x:xf numFmtId="202" fontId="0" fillId="7" borderId="7" xfId="0" applyNumberFormat="1" applyFont="1" applyFill="1" applyBorder="1" applyAlignment="1">
      <x:alignment vertical="center" wrapText="1"/>
    </x:xf>
    <x:xf numFmtId="202" fontId="0" fillId="4" borderId="7" xfId="0" applyNumberFormat="1" applyFont="1" applyFill="1" applyBorder="1" applyAlignment="1">
      <x:alignment vertical="center" wrapText="1"/>
    </x:xf>
    <x:xf numFmtId="202" fontId="0" fillId="4" borderId="9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7" borderId="5" xfId="0" applyNumberFormat="1" applyFont="1" applyFill="1" applyBorder="1" applyAlignment="1">
      <x:alignment vertical="center" wrapText="1"/>
    </x:xf>
    <x:xf numFmtId="203" fontId="0" fillId="7" borderId="7" xfId="0" applyNumberFormat="1" applyFont="1" applyFill="1" applyBorder="1" applyAlignment="1">
      <x:alignment vertical="center" wrapText="1"/>
    </x:xf>
    <x:xf numFmtId="203" fontId="0" fillId="4" borderId="7" xfId="0" applyNumberFormat="1" applyFont="1" applyFill="1" applyBorder="1" applyAlignment="1">
      <x:alignment vertical="center" wrapText="1"/>
    </x:xf>
    <x:xf numFmtId="203" fontId="0" fillId="4" borderId="9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3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205" fontId="0" fillId="0" borderId="6" xfId="0" applyNumberFormat="1" applyFont="1" applyFill="1" applyBorder="1" applyAlignment="1">
      <x:alignment vertical="center" wrapText="1"/>
    </x:xf>
    <x:xf numFmtId="205" fontId="0" fillId="0" borderId="1" xfId="0" applyNumberFormat="1" applyFont="1" applyFill="1" applyBorder="1" applyAlignment="1">
      <x:alignment vertical="center" wrapText="1"/>
    </x:xf>
    <x:xf numFmtId="205" fontId="0" fillId="0" borderId="10" xfId="0" applyNumberFormat="1" applyFont="1" applyFill="1" applyBorder="1" applyAlignment="1">
      <x:alignment vertical="center" wrapText="1"/>
    </x:xf>
    <x:xf numFmtId="206" fontId="0" fillId="0" borderId="5" xfId="0" applyNumberFormat="1" applyFont="1" applyFill="1" applyBorder="1" applyAlignment="1">
      <x:alignment vertical="center" wrapText="1"/>
    </x:xf>
    <x:xf numFmtId="206" fontId="0" fillId="0" borderId="7" xfId="0" applyNumberFormat="1" applyFont="1" applyFill="1" applyBorder="1" applyAlignment="1">
      <x:alignment vertical="center" wrapText="1"/>
    </x:xf>
    <x:xf numFmtId="206" fontId="0" fillId="0" borderId="9" xfId="0" applyNumberFormat="1" applyFont="1" applyFill="1" applyBorder="1" applyAlignment="1">
      <x:alignment vertical="center" wrapText="1"/>
    </x:xf>
    <x:xf numFmtId="207" fontId="0" fillId="0" borderId="5" xfId="0" applyNumberFormat="1" applyFont="1" applyFill="1" applyBorder="1" applyAlignment="1">
      <x:alignment vertical="center" wrapText="1"/>
    </x:xf>
    <x:xf numFmtId="207" fontId="0" fillId="0" borderId="7" xfId="0" applyNumberFormat="1" applyFont="1" applyFill="1" applyBorder="1" applyAlignment="1">
      <x:alignment vertical="center" wrapText="1"/>
    </x:xf>
    <x:xf numFmtId="207" fontId="0" fillId="0" borderId="9" xfId="0" applyNumberFormat="1" applyFont="1" applyFill="1" applyBorder="1" applyAlignment="1">
      <x:alignment vertical="center" wrapText="1"/>
    </x:xf>
    <x:xf numFmtId="205" fontId="0" fillId="0" borderId="5" xfId="0" applyNumberFormat="1" applyFont="1" applyFill="1" applyBorder="1" applyAlignment="1">
      <x:alignment vertical="center" wrapText="1"/>
    </x:xf>
    <x:xf numFmtId="205" fontId="0" fillId="0" borderId="7" xfId="0" applyNumberFormat="1" applyFont="1" applyFill="1" applyBorder="1" applyAlignment="1">
      <x:alignment vertical="center" wrapText="1"/>
    </x:xf>
    <x:xf numFmtId="205" fontId="0" fillId="0" borderId="9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11" borderId="4" xfId="0" applyNumberFormat="1" applyFont="1" applyFill="1" applyBorder="1" applyAlignment="1">
      <x:alignment vertical="center" wrapText="1"/>
    </x:xf>
    <x:xf numFmtId="0" fontId="8" fillId="11" borderId="5" xfId="0" applyNumberFormat="1" applyFont="1" applyFill="1" applyBorder="1" applyAlignment="1">
      <x:alignment vertical="center" wrapText="1"/>
    </x:xf>
    <x:xf numFmtId="0" fontId="8" fillId="11" borderId="6" xfId="0" applyNumberFormat="1" applyFont="1" applyFill="1" applyBorder="1" applyAlignment="1">
      <x:alignment vertical="center" wrapText="1"/>
    </x:xf>
    <x:xf numFmtId="0" fontId="9" fillId="11" borderId="4" xfId="0" applyNumberFormat="1" applyFont="1" applyFill="1" applyBorder="1" applyAlignment="1">
      <x:alignment vertical="center" wrapText="1"/>
    </x:xf>
    <x:xf numFmtId="0" fontId="9" fillId="11" borderId="5" xfId="0" applyNumberFormat="1" applyFont="1" applyFill="1" applyBorder="1" applyAlignment="1">
      <x:alignment vertical="center" wrapText="1"/>
    </x:xf>
    <x:xf numFmtId="0" fontId="9" fillId="11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1e2c5f18bd4279" /><Relationship Type="http://schemas.openxmlformats.org/officeDocument/2006/relationships/theme" Target="/xl/theme/theme1.xml" Id="Rc67ad01159934d0d" /><Relationship Type="http://schemas.openxmlformats.org/officeDocument/2006/relationships/sharedStrings" Target="/xl/sharedStrings.xml" Id="R825752ae26b049df" /><Relationship Type="http://schemas.openxmlformats.org/officeDocument/2006/relationships/worksheet" Target="/xl/worksheets/sheet1.xml" Id="Ra8db488ef4434800" /><Relationship Type="http://schemas.openxmlformats.org/officeDocument/2006/relationships/worksheet" Target="/xl/worksheets/sheet2.xml" Id="Raeb19799824f4787" /><Relationship Type="http://schemas.openxmlformats.org/officeDocument/2006/relationships/worksheet" Target="/xl/worksheets/sheet3.xml" Id="Rf15e23f9391846bb" /><Relationship Type="http://schemas.openxmlformats.org/officeDocument/2006/relationships/worksheet" Target="/xl/worksheets/sheet4.xml" Id="R8f071c16170348f5" /><Relationship Type="http://schemas.openxmlformats.org/officeDocument/2006/relationships/worksheet" Target="/xl/worksheets/sheet5.xml" Id="R39e18487c1904c56" /><Relationship Type="http://schemas.openxmlformats.org/officeDocument/2006/relationships/worksheet" Target="/xl/worksheets/sheet6.xml" Id="R2f6244fab5a846fd" /><Relationship Type="http://schemas.openxmlformats.org/officeDocument/2006/relationships/worksheet" Target="/xl/worksheets/sheet7.xml" Id="Rab221e7309454a78" /><Relationship Type="http://schemas.openxmlformats.org/officeDocument/2006/relationships/worksheet" Target="/xl/worksheets/sheet8.xml" Id="R8a086634cc5d490f" /><Relationship Type="http://schemas.openxmlformats.org/officeDocument/2006/relationships/worksheet" Target="/xl/worksheets/sheet9.xml" Id="R6106401461884d92" /><Relationship Type="http://schemas.openxmlformats.org/officeDocument/2006/relationships/worksheet" Target="/xl/worksheets/sheet10.xml" Id="Reab9b90f276149fd" /><Relationship Type="http://schemas.openxmlformats.org/officeDocument/2006/relationships/worksheet" Target="/xl/worksheets/sheet11.xml" Id="R4bffa679355c49c9" /><Relationship Type="http://schemas.openxmlformats.org/officeDocument/2006/relationships/worksheet" Target="/xl/worksheets/sheet12.xml" Id="R1c49b7b4f81b425a" /><Relationship Type="http://schemas.openxmlformats.org/officeDocument/2006/relationships/worksheet" Target="/xl/worksheets/sheet13.xml" Id="R256ab902bc544587" /><Relationship Type="http://schemas.openxmlformats.org/officeDocument/2006/relationships/worksheet" Target="/xl/worksheets/sheet14.xml" Id="Rc20f1b413602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7" hidden="0" customWidth="1"/>
    <x:col min="7" max="7" width="24" hidden="0" customWidth="1"/>
    <x:col min="8" max="8" width="36" hidden="0" customWidth="1"/>
  </x:cols>
  <x:sheetData>
    <x:row r="1" ht="34" customHeight="1">
      <x:c r="A1" s="3" t="str">
        <x:v>AI Builder 内容实验仪表盘</x:v>
      </x:c>
      <x:c r="B1" s="3" t="str">
        <x:v>AI Builder 内容实验仪表盘</x:v>
      </x:c>
      <x:c r="C1" s="3" t="str">
        <x:v>AI Builder 内容实验仪表盘</x:v>
      </x:c>
      <x:c r="D1" s="3" t="str">
        <x:v>AI Builder 内容实验仪表盘</x:v>
      </x:c>
      <x:c r="E1" s="3" t="str">
        <x:v>AI Builder 内容实验仪表盘</x:v>
      </x:c>
      <x:c r="F1" s="3" t="str">
        <x:v>AI Builder 内容实验仪表盘</x:v>
      </x:c>
      <x:c r="G1" s="3" t="str">
        <x:v>AI Builder 内容实验仪表盘</x:v>
      </x:c>
      <x:c r="H1" s="3" t="str">
        <x:v>AI Builder 内容实验仪表盘</x:v>
      </x:c>
    </x:row>
    <x:row r="2">
      <x:c r="A2" s="6" t="str">
        <x:v>面向 Codex / Agent / Skill 开发者与进阶用户；由真实运行证据和可复用资产触发内容，不设天数与日更目标。</x:v>
      </x:c>
      <x:c r="B2" s="6"/>
      <x:c r="C2" s="6"/>
      <x:c r="D2" s="6"/>
      <x:c r="E2" s="6"/>
      <x:c r="F2" s="6"/>
      <x:c r="G2" s="6"/>
      <x:c r="H2" s="6"/>
    </x:row>
    <x:row r="4" ht="28" customHeight="1">
      <x:c r="A4" s="14" t="str">
        <x:v>成熟基线作品</x:v>
      </x:c>
      <x:c r="B4" s="15" t="str">
        <x:v>待实验选题</x:v>
      </x:c>
      <x:c r="C4" s="15" t="str">
        <x:v>平均播放</x:v>
      </x:c>
      <x:c r="D4" s="15" t="str">
        <x:v>平均2秒跳出</x:v>
      </x:c>
      <x:c r="E4" s="15" t="str">
        <x:v>平均5秒完播</x:v>
      </x:c>
      <x:c r="F4" s="15" t="str">
        <x:v>平均观看秒数</x:v>
      </x:c>
      <x:c r="G4" s="15" t="str">
        <x:v>平均完播率</x:v>
      </x:c>
      <x:c r="H4" s="16" t="str">
        <x:v>当前判断</x:v>
      </x:c>
    </x:row>
    <x:row r="5" ht="50" customHeight="1">
      <x:c r="A5" s="21" t="n">
        <x:f>COUNTA(A15:A17)</x:f>
        <x:v>3</x:v>
      </x:c>
      <x:c r="B5" s="21" t="n">
        <x:f>COUNTA(A9:A11)</x:f>
        <x:v>3</x:v>
      </x:c>
      <x:c r="C5" s="21" t="n">
        <x:f>AVERAGE(B15:B17)</x:f>
        <x:v>425</x:v>
      </x:c>
      <x:c r="D5" s="22" t="n">
        <x:f>AVERAGE(C15:C17)</x:f>
        <x:v>0.5013666666666666</x:v>
      </x:c>
      <x:c r="E5" s="22" t="n">
        <x:f>AVERAGE(D15:D17)</x:f>
        <x:v>0.21846666666666667</x:v>
      </x:c>
      <x:c r="F5" s="23" t="n">
        <x:f>AVERAGE(E15:E17)</x:f>
        <x:v>4.666666666666667</x:v>
      </x:c>
      <x:c r="G5" s="24" t="n">
        <x:f>AVERAGE(F15:F17)</x:f>
        <x:v>0.008466666666666666</x:v>
      </x:c>
      <x:c r="H5" s="20" t="str">
        <x:v>分发并未失效，首要问题是前5秒与持续观看；新内容先给结果，再交付方法和资产。</x:v>
      </x:c>
    </x:row>
    <x:row r="8" ht="28" customHeight="1">
      <x:c r="A8" s="33" t="str">
        <x:v>开放选题池</x:v>
      </x:c>
      <x:c r="B8" s="34"/>
      <x:c r="C8" s="34"/>
      <x:c r="D8" s="34"/>
      <x:c r="E8" s="34"/>
      <x:c r="F8" s="34"/>
      <x:c r="G8" s="34"/>
      <x:c r="H8" s="35"/>
    </x:row>
    <x:row r="9" ht="42" customHeight="1">
      <x:c r="A9" s="54" t="str">
        <x:v>Skill真实跑通</x:v>
      </x:c>
      <x:c r="B9" s="55" t="str">
        <x:v>安装 → 输入 → 输出 → 验证</x:v>
      </x:c>
      <x:c r="C9" s="55" t="str">
        <x:v>运行截图 / 日志 / 失败边界</x:v>
      </x:c>
      <x:c r="D9" s="55" t="str">
        <x:v>提示词或配置模板</x:v>
      </x:c>
      <x:c r="E9" s="55" t="str">
        <x:v>quick-proof / evidence-story</x:v>
      </x:c>
      <x:c r="F9" s="55" t="str">
        <x:v>先展示结果</x:v>
      </x:c>
      <x:c r="G9" s="55" t="str">
        <x:v>收藏或群内领取文件</x:v>
      </x:c>
      <x:c r="H9" s="56" t="str">
        <x:v>开放</x:v>
      </x:c>
    </x:row>
    <x:row r="10" ht="42" customHeight="1">
      <x:c r="A10" s="57" t="str">
        <x:v>Agent工作流拆解</x:v>
      </x:c>
      <x:c r="B10" s="58" t="str">
        <x:v>任务拆分 → 调用 → 人工门禁</x:v>
      </x:c>
      <x:c r="C10" s="58" t="str">
        <x:v>工作流图 / 运行记录</x:v>
      </x:c>
      <x:c r="D10" s="58" t="str">
        <x:v>流程图、清单、提示词</x:v>
      </x:c>
      <x:c r="E10" s="58" t="str">
        <x:v>saveable-map</x:v>
      </x:c>
      <x:c r="F10" s="58" t="str">
        <x:v>先展示流程产物</x:v>
      </x:c>
      <x:c r="G10" s="58" t="str">
        <x:v>评论讨论分支</x:v>
      </x:c>
      <x:c r="H10" s="59" t="str">
        <x:v>开放</x:v>
      </x:c>
    </x:row>
    <x:row r="11" ht="42" customHeight="1">
      <x:c r="A11" s="60" t="str">
        <x:v>开源项目审计</x:v>
      </x:c>
      <x:c r="B11" s="61" t="str">
        <x:v>许可证 → 安全 → 维护 → 本地试用</x:v>
      </x:c>
      <x:c r="C11" s="61" t="str">
        <x:v>固定版本 / 审计证据</x:v>
      </x:c>
      <x:c r="D11" s="61" t="str">
        <x:v>审计清单或试用模板</x:v>
      </x:c>
      <x:c r="E11" s="61" t="str">
        <x:v>deep-audit</x:v>
      </x:c>
      <x:c r="F11" s="61" t="str">
        <x:v>先展示结论与风险</x:v>
      </x:c>
      <x:c r="G11" s="61" t="str">
        <x:v>群内更新与答疑</x:v>
      </x:c>
      <x:c r="H11" s="62" t="str">
        <x:v>开放</x:v>
      </x:c>
    </x:row>
    <x:row r="14" ht="28" customHeight="1">
      <x:c r="A14" s="71" t="str">
        <x:v>基线作品</x:v>
      </x:c>
      <x:c r="B14" s="72" t="str">
        <x:v>播放</x:v>
      </x:c>
      <x:c r="C14" s="72" t="str">
        <x:v>2秒跳出</x:v>
      </x:c>
      <x:c r="D14" s="72" t="str">
        <x:v>5秒完播</x:v>
      </x:c>
      <x:c r="E14" s="72" t="str">
        <x:v>平均观看</x:v>
      </x:c>
      <x:c r="F14" s="72" t="str">
        <x:v>完播率</x:v>
      </x:c>
      <x:c r="G14" s="72" t="str">
        <x:v>互动信号</x:v>
      </x:c>
      <x:c r="H14" s="73" t="str">
        <x:v>结论</x:v>
      </x:c>
    </x:row>
    <x:row r="15">
      <x:c r="A15" s="54" t="str">
        <x:v>程序员的AI实战 / AI全包剪辑</x:v>
      </x:c>
      <x:c r="B15" s="74" t="n">
        <x:v>795</x:v>
      </x:c>
      <x:c r="C15" s="77" t="n">
        <x:v>0.379</x:v>
      </x:c>
      <x:c r="D15" s="77" t="n">
        <x:v>0.2979</x:v>
      </x:c>
      <x:c r="E15" s="80" t="n">
        <x:v>6</x:v>
      </x:c>
      <x:c r="F15" s="83" t="n">
        <x:v>0.0161</x:v>
      </x:c>
      <x:c r="G15" s="55" t="str">
        <x:v>13赞 / 1评 / 2藏 / 65主页 / +2粉</x:v>
      </x:c>
      <x:c r="H15" s="56" t="str">
        <x:v>身份信号最强</x:v>
      </x:c>
    </x:row>
    <x:row r="16">
      <x:c r="A16" s="57" t="str">
        <x:v>AI视频剪辑</x:v>
      </x:c>
      <x:c r="B16" s="75" t="n">
        <x:v>383</x:v>
      </x:c>
      <x:c r="C16" s="78" t="n">
        <x:v>0.5251</x:v>
      </x:c>
      <x:c r="D16" s="78" t="n">
        <x:v>0.1484</x:v>
      </x:c>
      <x:c r="E16" s="81" t="n">
        <x:v>4</x:v>
      </x:c>
      <x:c r="F16" s="84" t="n">
        <x:v>0</x:v>
      </x:c>
      <x:c r="G16" s="58" t="str">
        <x:v>6赞 / 3评 / +1粉</x:v>
      </x:c>
      <x:c r="H16" s="59" t="str">
        <x:v>前5秒流失严重</x:v>
      </x:c>
    </x:row>
    <x:row r="17">
      <x:c r="A17" s="60" t="str">
        <x:v>先做起来</x:v>
      </x:c>
      <x:c r="B17" s="76" t="n">
        <x:v>97</x:v>
      </x:c>
      <x:c r="C17" s="79" t="n">
        <x:v>0.6</x:v>
      </x:c>
      <x:c r="D17" s="79" t="n">
        <x:v>0.2091</x:v>
      </x:c>
      <x:c r="E17" s="82" t="n">
        <x:v>4</x:v>
      </x:c>
      <x:c r="F17" s="85" t="n">
        <x:v>0.0093</x:v>
      </x:c>
      <x:c r="G17" s="61" t="str">
        <x:v>2赞</x:v>
      </x:c>
      <x:c r="H17" s="62" t="str">
        <x:v>泛成长表达最弱</x:v>
      </x:c>
    </x:row>
  </x:sheetData>
  <x:mergeCells>
    <x:mergeCell ref="A1:H1"/>
    <x:mergeCell ref="A2:H2"/>
    <x:mergeCell ref="A8:H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8" hidden="0" customWidth="1"/>
    <x:col min="4" max="4" width="28" hidden="0" customWidth="1"/>
    <x:col min="5" max="5" width="30" hidden="0" customWidth="1"/>
    <x:col min="6" max="6" width="34" hidden="0" customWidth="1"/>
    <x:col min="7" max="7" width="30" hidden="0" customWidth="1"/>
    <x:col min="8" max="8" width="18" hidden="0" customWidth="1"/>
    <x:col min="9" max="9" width="18" hidden="0" customWidth="1"/>
    <x:col min="10" max="10" width="13" hidden="0" customWidth="1"/>
    <x:col min="11" max="11" width="10" hidden="0" customWidth="1"/>
    <x:col min="12" max="12" width="12" hidden="0" customWidth="1"/>
    <x:col min="13" max="13" width="12" hidden="0" customWidth="1"/>
    <x:col min="14" max="14" width="14" hidden="0" customWidth="1"/>
    <x:col min="15" max="15" width="11" hidden="0" customWidth="1"/>
    <x:col min="16" max="16" width="9" hidden="0" customWidth="1"/>
    <x:col min="17" max="17" width="9" hidden="0" customWidth="1"/>
    <x:col min="18" max="18" width="9" hidden="0" customWidth="1"/>
    <x:col min="19" max="19" width="11" hidden="0" customWidth="1"/>
    <x:col min="20" max="20" width="11" hidden="0" customWidth="1"/>
    <x:col min="21" max="21" width="15" hidden="0" customWidth="1"/>
    <x:col min="22" max="22" width="30" hidden="0" customWidth="1"/>
  </x:cols>
  <x:sheetData>
    <x:row r="1" ht="34" customHeight="1">
      <x:c r="A1" s="3" t="str">
        <x:v>内容实验台账 | 证据与资产驱动</x:v>
      </x:c>
      <x:c r="B1" s="3" t="str">
        <x:v>内容实验台账 | 证据与资产驱动</x:v>
      </x:c>
      <x:c r="C1" s="3" t="str">
        <x:v>内容实验台账 | 证据与资产驱动</x:v>
      </x:c>
      <x:c r="D1" s="3" t="str">
        <x:v>内容实验台账 | 证据与资产驱动</x:v>
      </x:c>
      <x:c r="E1" s="3" t="str">
        <x:v>内容实验台账 | 证据与资产驱动</x:v>
      </x:c>
      <x:c r="F1" s="3" t="str">
        <x:v>内容实验台账 | 证据与资产驱动</x:v>
      </x:c>
      <x:c r="G1" s="3" t="str">
        <x:v>内容实验台账 | 证据与资产驱动</x:v>
      </x:c>
      <x:c r="H1" s="3" t="str">
        <x:v>内容实验台账 | 证据与资产驱动</x:v>
      </x:c>
      <x:c r="I1" s="3" t="str">
        <x:v>内容实验台账 | 证据与资产驱动</x:v>
      </x:c>
      <x:c r="J1" s="3" t="str">
        <x:v>内容实验台账 | 证据与资产驱动</x:v>
      </x:c>
      <x:c r="K1" s="3" t="str">
        <x:v>内容实验台账 | 证据与资产驱动</x:v>
      </x:c>
      <x:c r="L1" s="3" t="str">
        <x:v>内容实验台账 | 证据与资产驱动</x:v>
      </x:c>
      <x:c r="M1" s="3" t="str">
        <x:v>内容实验台账 | 证据与资产驱动</x:v>
      </x:c>
      <x:c r="N1" s="3" t="str">
        <x:v>内容实验台账 | 证据与资产驱动</x:v>
      </x:c>
      <x:c r="O1" s="3" t="str">
        <x:v>内容实验台账 | 证据与资产驱动</x:v>
      </x:c>
      <x:c r="P1" s="3" t="str">
        <x:v>内容实验台账 | 证据与资产驱动</x:v>
      </x:c>
      <x:c r="Q1" s="3" t="str">
        <x:v>内容实验台账 | 证据与资产驱动</x:v>
      </x:c>
      <x:c r="R1" s="3" t="str">
        <x:v>内容实验台账 | 证据与资产驱动</x:v>
      </x:c>
      <x:c r="S1" s="3" t="str">
        <x:v>内容实验台账 | 证据与资产驱动</x:v>
      </x:c>
      <x:c r="T1" s="3" t="str">
        <x:v>内容实验台账 | 证据与资产驱动</x:v>
      </x:c>
      <x:c r="U1" s="3" t="str">
        <x:v>内容实验台账 | 证据与资产驱动</x:v>
      </x:c>
      <x:c r="V1" s="3" t="str">
        <x:v>内容实验台账 | 证据与资产驱动</x:v>
      </x:c>
    </x:row>
    <x:row r="2">
      <x:c r="A2" s="6" t="str">
        <x:v>先填写问题、真实证据和交付资产，再写稿；发布数据用于迭代钩子、结构和资源承诺，不以连续天数作为完成标准。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  <x:c r="V2" s="6"/>
    </x:row>
    <x:row r="4" ht="28" customHeight="1">
      <x:c r="A4" s="33" t="str">
        <x:v>实验ID</x:v>
      </x:c>
      <x:c r="B4" s="34" t="str">
        <x:v>记录日期</x:v>
      </x:c>
      <x:c r="C4" s="34" t="str">
        <x:v>内容池</x:v>
      </x:c>
      <x:c r="D4" s="34" t="str">
        <x:v>选题</x:v>
      </x:c>
      <x:c r="E4" s="34" t="str">
        <x:v>开发者问题</x:v>
      </x:c>
      <x:c r="F4" s="34" t="str">
        <x:v>真实证据</x:v>
      </x:c>
      <x:c r="G4" s="34" t="str">
        <x:v>可复用资产</x:v>
      </x:c>
      <x:c r="H4" s="34" t="str">
        <x:v>结构</x:v>
      </x:c>
      <x:c r="I4" s="34" t="str">
        <x:v>状态</x:v>
      </x:c>
      <x:c r="J4" s="34" t="str">
        <x:v>发布日期</x:v>
      </x:c>
      <x:c r="K4" s="34" t="str">
        <x:v>播放</x:v>
      </x:c>
      <x:c r="L4" s="34" t="str">
        <x:v>2秒跳出</x:v>
      </x:c>
      <x:c r="M4" s="34" t="str">
        <x:v>5秒完播</x:v>
      </x:c>
      <x:c r="N4" s="34" t="str">
        <x:v>平均观看秒</x:v>
      </x:c>
      <x:c r="O4" s="34" t="str">
        <x:v>完播率</x:v>
      </x:c>
      <x:c r="P4" s="34" t="str">
        <x:v>点赞</x:v>
      </x:c>
      <x:c r="Q4" s="34" t="str">
        <x:v>评论</x:v>
      </x:c>
      <x:c r="R4" s="34" t="str">
        <x:v>收藏</x:v>
      </x:c>
      <x:c r="S4" s="34" t="str">
        <x:v>主页访问</x:v>
      </x:c>
      <x:c r="T4" s="34" t="str">
        <x:v>新增粉丝</x:v>
      </x:c>
      <x:c r="U4" s="34" t="str">
        <x:v>群交付状态</x:v>
      </x:c>
      <x:c r="V4" s="35" t="str">
        <x:v>备注</x:v>
      </x:c>
    </x:row>
    <x:row r="5">
      <x:c r="A5" s="86" t="str">
        <x:v>baseline-001</x:v>
      </x:c>
      <x:c r="B5" s="98"/>
      <x:c r="C5" s="87" t="str">
        <x:v>历史基线</x:v>
      </x:c>
      <x:c r="D5" s="87" t="str">
        <x:v>程序员的AI实战 / AI全包剪辑</x:v>
      </x:c>
      <x:c r="E5" s="87" t="str">
        <x:v>AI剪辑工作流是否真的可用</x:v>
      </x:c>
      <x:c r="F5" s="87" t="str">
        <x:v>真实成片与发布数据</x:v>
      </x:c>
      <x:c r="G5" s="87" t="str">
        <x:v>未形成标准资源包</x:v>
      </x:c>
      <x:c r="H5" s="87" t="str">
        <x:v>历史</x:v>
      </x:c>
      <x:c r="I5" s="87" t="str">
        <x:v>已发布-历史基线</x:v>
      </x:c>
      <x:c r="J5" s="98"/>
      <x:c r="K5" s="103" t="n">
        <x:v>795</x:v>
      </x:c>
      <x:c r="L5" s="108" t="n">
        <x:v>0.379</x:v>
      </x:c>
      <x:c r="M5" s="108" t="n">
        <x:v>0.2979</x:v>
      </x:c>
      <x:c r="N5" s="113" t="n">
        <x:v>6</x:v>
      </x:c>
      <x:c r="O5" s="118" t="n">
        <x:v>0.0161</x:v>
      </x:c>
      <x:c r="P5" s="103" t="n">
        <x:v>13</x:v>
      </x:c>
      <x:c r="Q5" s="103" t="n">
        <x:v>1</x:v>
      </x:c>
      <x:c r="R5" s="103" t="n">
        <x:v>2</x:v>
      </x:c>
      <x:c r="S5" s="103" t="n">
        <x:v>65</x:v>
      </x:c>
      <x:c r="T5" s="103" t="n">
        <x:v>2</x:v>
      </x:c>
      <x:c r="U5" s="87" t="str">
        <x:v>不适用</x:v>
      </x:c>
      <x:c r="V5" s="88" t="str">
        <x:v>成熟样本；身份信号最强</x:v>
      </x:c>
    </x:row>
    <x:row r="6">
      <x:c r="A6" s="89" t="str">
        <x:v>baseline-002</x:v>
      </x:c>
      <x:c r="B6" s="99"/>
      <x:c r="C6" s="90" t="str">
        <x:v>历史基线</x:v>
      </x:c>
      <x:c r="D6" s="90" t="str">
        <x:v>AI视频剪辑</x:v>
      </x:c>
      <x:c r="E6" s="90" t="str">
        <x:v>AI视频剪辑能否直接交付结果</x:v>
      </x:c>
      <x:c r="F6" s="90" t="str">
        <x:v>真实成片与发布数据</x:v>
      </x:c>
      <x:c r="G6" s="90" t="str">
        <x:v>未形成标准资源包</x:v>
      </x:c>
      <x:c r="H6" s="90" t="str">
        <x:v>历史</x:v>
      </x:c>
      <x:c r="I6" s="90" t="str">
        <x:v>已发布-历史基线</x:v>
      </x:c>
      <x:c r="J6" s="99"/>
      <x:c r="K6" s="104" t="n">
        <x:v>383</x:v>
      </x:c>
      <x:c r="L6" s="109" t="n">
        <x:v>0.5251</x:v>
      </x:c>
      <x:c r="M6" s="109" t="n">
        <x:v>0.1484</x:v>
      </x:c>
      <x:c r="N6" s="114" t="n">
        <x:v>4</x:v>
      </x:c>
      <x:c r="O6" s="119" t="n">
        <x:v>0</x:v>
      </x:c>
      <x:c r="P6" s="104" t="n">
        <x:v>6</x:v>
      </x:c>
      <x:c r="Q6" s="104" t="n">
        <x:v>3</x:v>
      </x:c>
      <x:c r="R6" s="104"/>
      <x:c r="S6" s="104"/>
      <x:c r="T6" s="104" t="n">
        <x:v>1</x:v>
      </x:c>
      <x:c r="U6" s="90" t="str">
        <x:v>不适用</x:v>
      </x:c>
      <x:c r="V6" s="91" t="str">
        <x:v>前5秒流失严重</x:v>
      </x:c>
    </x:row>
    <x:row r="7">
      <x:c r="A7" s="89" t="str">
        <x:v>baseline-003</x:v>
      </x:c>
      <x:c r="B7" s="99"/>
      <x:c r="C7" s="90" t="str">
        <x:v>历史基线</x:v>
      </x:c>
      <x:c r="D7" s="90" t="str">
        <x:v>先做起来</x:v>
      </x:c>
      <x:c r="E7" s="90" t="str">
        <x:v>是否能用行动叙事建立关注</x:v>
      </x:c>
      <x:c r="F7" s="90" t="str">
        <x:v>真实发布数据</x:v>
      </x:c>
      <x:c r="G7" s="90" t="str">
        <x:v>无</x:v>
      </x:c>
      <x:c r="H7" s="90" t="str">
        <x:v>历史</x:v>
      </x:c>
      <x:c r="I7" s="90" t="str">
        <x:v>已发布-历史基线</x:v>
      </x:c>
      <x:c r="J7" s="99"/>
      <x:c r="K7" s="104" t="n">
        <x:v>97</x:v>
      </x:c>
      <x:c r="L7" s="109" t="n">
        <x:v>0.6</x:v>
      </x:c>
      <x:c r="M7" s="109" t="n">
        <x:v>0.2091</x:v>
      </x:c>
      <x:c r="N7" s="114" t="n">
        <x:v>4</x:v>
      </x:c>
      <x:c r="O7" s="119" t="n">
        <x:v>0.0093</x:v>
      </x:c>
      <x:c r="P7" s="104" t="n">
        <x:v>2</x:v>
      </x:c>
      <x:c r="Q7" s="104"/>
      <x:c r="R7" s="104"/>
      <x:c r="S7" s="104"/>
      <x:c r="T7" s="104"/>
      <x:c r="U7" s="90" t="str">
        <x:v>不适用</x:v>
      </x:c>
      <x:c r="V7" s="91" t="str">
        <x:v>泛成长表达，定位弱</x:v>
      </x:c>
    </x:row>
    <x:row r="8">
      <x:c r="A8" s="92" t="str">
        <x:v>exp-skill-001</x:v>
      </x:c>
      <x:c r="B8" s="100"/>
      <x:c r="C8" s="93" t="str">
        <x:v>Skill真实跑通</x:v>
      </x:c>
      <x:c r="D8" s="93" t="str">
        <x:v>跑通一个 Codex Skill：从安装到验收</x:v>
      </x:c>
      <x:c r="E8" s="93" t="str">
        <x:v>开发者如何判断一个 Skill 是否真的可用</x:v>
      </x:c>
      <x:c r="F8" s="93" t="str">
        <x:v>待补：版本、安装日志、运行结果、失败边界</x:v>
      </x:c>
      <x:c r="G8" s="93" t="str">
        <x:v>安装提示词 + 验收清单</x:v>
      </x:c>
      <x:c r="H8" s="93" t="str">
        <x:v>quick-proof</x:v>
      </x:c>
      <x:c r="I8" s="93" t="str">
        <x:v>待实验</x:v>
      </x:c>
      <x:c r="J8" s="100"/>
      <x:c r="K8" s="105"/>
      <x:c r="L8" s="110"/>
      <x:c r="M8" s="110"/>
      <x:c r="N8" s="115"/>
      <x:c r="O8" s="120"/>
      <x:c r="P8" s="105"/>
      <x:c r="Q8" s="105"/>
      <x:c r="R8" s="105"/>
      <x:c r="S8" s="105"/>
      <x:c r="T8" s="105"/>
      <x:c r="U8" s="93" t="str">
        <x:v>待准备</x:v>
      </x:c>
      <x:c r="V8" s="94" t="str">
        <x:v>核心方法在视频，文件与更新进群</x:v>
      </x:c>
    </x:row>
    <x:row r="9">
      <x:c r="A9" s="92" t="str">
        <x:v>exp-agent-001</x:v>
      </x:c>
      <x:c r="B9" s="100"/>
      <x:c r="C9" s="93" t="str">
        <x:v>Agent工作流拆解</x:v>
      </x:c>
      <x:c r="D9" s="93" t="str">
        <x:v>把一个任务拆成 Agent 工作流并设置人工门禁</x:v>
      </x:c>
      <x:c r="E9" s="93" t="str">
        <x:v>什么时候该交给 Agent，什么时候必须人工确认</x:v>
      </x:c>
      <x:c r="F9" s="93" t="str">
        <x:v>待补：流程图、实际运行、回退记录</x:v>
      </x:c>
      <x:c r="G9" s="93" t="str">
        <x:v>工作流图 + 门禁清单 + 提示词</x:v>
      </x:c>
      <x:c r="H9" s="93" t="str">
        <x:v>saveable-map</x:v>
      </x:c>
      <x:c r="I9" s="93" t="str">
        <x:v>待实验</x:v>
      </x:c>
      <x:c r="J9" s="100"/>
      <x:c r="K9" s="105"/>
      <x:c r="L9" s="110"/>
      <x:c r="M9" s="110"/>
      <x:c r="N9" s="115"/>
      <x:c r="O9" s="120"/>
      <x:c r="P9" s="105"/>
      <x:c r="Q9" s="105"/>
      <x:c r="R9" s="105"/>
      <x:c r="S9" s="105"/>
      <x:c r="T9" s="105"/>
      <x:c r="U9" s="93" t="str">
        <x:v>待准备</x:v>
      </x:c>
      <x:c r="V9" s="94" t="str">
        <x:v>重点是可复制的决策边界</x:v>
      </x:c>
    </x:row>
    <x:row r="10">
      <x:c r="A10" s="95" t="str">
        <x:v>exp-oss-001</x:v>
      </x:c>
      <x:c r="B10" s="101"/>
      <x:c r="C10" s="96" t="str">
        <x:v>开源项目审计</x:v>
      </x:c>
      <x:c r="D10" s="96" t="str">
        <x:v>一个开源 AI 项目值不值得装：六项审计</x:v>
      </x:c>
      <x:c r="E10" s="96" t="str">
        <x:v>如何避免只看 README 就安装</x:v>
      </x:c>
      <x:c r="F10" s="96" t="str">
        <x:v>待补：许可证、安全、维护、Windows 本地试用</x:v>
      </x:c>
      <x:c r="G10" s="96" t="str">
        <x:v>审计清单 + 固定版本记录</x:v>
      </x:c>
      <x:c r="H10" s="96" t="str">
        <x:v>deep-audit</x:v>
      </x:c>
      <x:c r="I10" s="96" t="str">
        <x:v>待实验</x:v>
      </x:c>
      <x:c r="J10" s="101"/>
      <x:c r="K10" s="106"/>
      <x:c r="L10" s="111"/>
      <x:c r="M10" s="111"/>
      <x:c r="N10" s="116"/>
      <x:c r="O10" s="121"/>
      <x:c r="P10" s="106"/>
      <x:c r="Q10" s="106"/>
      <x:c r="R10" s="106"/>
      <x:c r="S10" s="106"/>
      <x:c r="T10" s="106"/>
      <x:c r="U10" s="96" t="str">
        <x:v>待准备</x:v>
      </x:c>
      <x:c r="V10" s="97" t="str">
        <x:v>结论必须带退出成本</x:v>
      </x:c>
    </x:row>
    <x:row r="11">
      <x:c r="B11" s="102"/>
      <x:c r="J11" s="102"/>
      <x:c r="K11" s="107"/>
      <x:c r="L11" s="112"/>
      <x:c r="M11" s="112"/>
      <x:c r="N11" s="117"/>
      <x:c r="O11" s="122"/>
      <x:c r="P11" s="107"/>
      <x:c r="Q11" s="107"/>
      <x:c r="R11" s="107"/>
      <x:c r="S11" s="107"/>
      <x:c r="T11" s="107"/>
    </x:row>
    <x:row r="12">
      <x:c r="B12" s="102"/>
      <x:c r="J12" s="102"/>
      <x:c r="K12" s="107"/>
      <x:c r="L12" s="112"/>
      <x:c r="M12" s="112"/>
      <x:c r="N12" s="117"/>
      <x:c r="O12" s="122"/>
      <x:c r="P12" s="107"/>
      <x:c r="Q12" s="107"/>
      <x:c r="R12" s="107"/>
      <x:c r="S12" s="107"/>
      <x:c r="T12" s="107"/>
    </x:row>
    <x:row r="13">
      <x:c r="B13" s="102"/>
      <x:c r="J13" s="102"/>
      <x:c r="K13" s="107"/>
      <x:c r="L13" s="112"/>
      <x:c r="M13" s="112"/>
      <x:c r="N13" s="117"/>
      <x:c r="O13" s="122"/>
      <x:c r="P13" s="107"/>
      <x:c r="Q13" s="107"/>
      <x:c r="R13" s="107"/>
      <x:c r="S13" s="107"/>
      <x:c r="T13" s="107"/>
    </x:row>
    <x:row r="14">
      <x:c r="B14" s="102"/>
      <x:c r="J14" s="102"/>
      <x:c r="K14" s="107"/>
      <x:c r="L14" s="112"/>
      <x:c r="M14" s="112"/>
      <x:c r="N14" s="117"/>
      <x:c r="O14" s="122"/>
      <x:c r="P14" s="107"/>
      <x:c r="Q14" s="107"/>
      <x:c r="R14" s="107"/>
      <x:c r="S14" s="107"/>
      <x:c r="T14" s="107"/>
    </x:row>
    <x:row r="15">
      <x:c r="B15" s="102"/>
      <x:c r="J15" s="102"/>
      <x:c r="K15" s="107"/>
      <x:c r="L15" s="112"/>
      <x:c r="M15" s="112"/>
      <x:c r="N15" s="117"/>
      <x:c r="O15" s="122"/>
      <x:c r="P15" s="107"/>
      <x:c r="Q15" s="107"/>
      <x:c r="R15" s="107"/>
      <x:c r="S15" s="107"/>
      <x:c r="T15" s="107"/>
    </x:row>
    <x:row r="16">
      <x:c r="B16" s="102"/>
      <x:c r="J16" s="102"/>
      <x:c r="K16" s="107"/>
      <x:c r="L16" s="112"/>
      <x:c r="M16" s="112"/>
      <x:c r="N16" s="117"/>
      <x:c r="O16" s="122"/>
      <x:c r="P16" s="107"/>
      <x:c r="Q16" s="107"/>
      <x:c r="R16" s="107"/>
      <x:c r="S16" s="107"/>
      <x:c r="T16" s="107"/>
    </x:row>
    <x:row r="17">
      <x:c r="B17" s="102"/>
      <x:c r="J17" s="102"/>
      <x:c r="K17" s="107"/>
      <x:c r="L17" s="112"/>
      <x:c r="M17" s="112"/>
      <x:c r="N17" s="117"/>
      <x:c r="O17" s="122"/>
      <x:c r="P17" s="107"/>
      <x:c r="Q17" s="107"/>
      <x:c r="R17" s="107"/>
      <x:c r="S17" s="107"/>
      <x:c r="T17" s="107"/>
    </x:row>
    <x:row r="18">
      <x:c r="B18" s="102"/>
      <x:c r="J18" s="102"/>
      <x:c r="K18" s="107"/>
      <x:c r="L18" s="112"/>
      <x:c r="M18" s="112"/>
      <x:c r="N18" s="117"/>
      <x:c r="O18" s="122"/>
      <x:c r="P18" s="107"/>
      <x:c r="Q18" s="107"/>
      <x:c r="R18" s="107"/>
      <x:c r="S18" s="107"/>
      <x:c r="T18" s="107"/>
    </x:row>
    <x:row r="19">
      <x:c r="B19" s="102"/>
      <x:c r="J19" s="102"/>
      <x:c r="K19" s="107"/>
      <x:c r="L19" s="112"/>
      <x:c r="M19" s="112"/>
      <x:c r="N19" s="117"/>
      <x:c r="O19" s="122"/>
      <x:c r="P19" s="107"/>
      <x:c r="Q19" s="107"/>
      <x:c r="R19" s="107"/>
      <x:c r="S19" s="107"/>
      <x:c r="T19" s="107"/>
    </x:row>
    <x:row r="20">
      <x:c r="B20" s="102"/>
      <x:c r="J20" s="102"/>
      <x:c r="K20" s="107"/>
      <x:c r="L20" s="112"/>
      <x:c r="M20" s="112"/>
      <x:c r="N20" s="117"/>
      <x:c r="O20" s="122"/>
      <x:c r="P20" s="107"/>
      <x:c r="Q20" s="107"/>
      <x:c r="R20" s="107"/>
      <x:c r="S20" s="107"/>
      <x:c r="T20" s="107"/>
    </x:row>
    <x:row r="21">
      <x:c r="B21" s="102"/>
      <x:c r="J21" s="102"/>
      <x:c r="K21" s="107"/>
      <x:c r="L21" s="112"/>
      <x:c r="M21" s="112"/>
      <x:c r="N21" s="117"/>
      <x:c r="O21" s="122"/>
      <x:c r="P21" s="107"/>
      <x:c r="Q21" s="107"/>
      <x:c r="R21" s="107"/>
      <x:c r="S21" s="107"/>
      <x:c r="T21" s="107"/>
    </x:row>
    <x:row r="22">
      <x:c r="B22" s="102"/>
      <x:c r="J22" s="102"/>
      <x:c r="K22" s="107"/>
      <x:c r="L22" s="112"/>
      <x:c r="M22" s="112"/>
      <x:c r="N22" s="117"/>
      <x:c r="O22" s="122"/>
      <x:c r="P22" s="107"/>
      <x:c r="Q22" s="107"/>
      <x:c r="R22" s="107"/>
      <x:c r="S22" s="107"/>
      <x:c r="T22" s="107"/>
    </x:row>
    <x:row r="23">
      <x:c r="B23" s="102"/>
      <x:c r="J23" s="102"/>
      <x:c r="K23" s="107"/>
      <x:c r="L23" s="112"/>
      <x:c r="M23" s="112"/>
      <x:c r="N23" s="117"/>
      <x:c r="O23" s="122"/>
      <x:c r="P23" s="107"/>
      <x:c r="Q23" s="107"/>
      <x:c r="R23" s="107"/>
      <x:c r="S23" s="107"/>
      <x:c r="T23" s="107"/>
    </x:row>
    <x:row r="24">
      <x:c r="B24" s="102"/>
      <x:c r="J24" s="102"/>
      <x:c r="K24" s="107"/>
      <x:c r="L24" s="112"/>
      <x:c r="M24" s="112"/>
      <x:c r="N24" s="117"/>
      <x:c r="O24" s="122"/>
      <x:c r="P24" s="107"/>
      <x:c r="Q24" s="107"/>
      <x:c r="R24" s="107"/>
      <x:c r="S24" s="107"/>
      <x:c r="T24" s="107"/>
    </x:row>
    <x:row r="25">
      <x:c r="B25" s="102"/>
      <x:c r="J25" s="102"/>
      <x:c r="K25" s="107"/>
      <x:c r="L25" s="112"/>
      <x:c r="M25" s="112"/>
      <x:c r="N25" s="117"/>
      <x:c r="O25" s="122"/>
      <x:c r="P25" s="107"/>
      <x:c r="Q25" s="107"/>
      <x:c r="R25" s="107"/>
      <x:c r="S25" s="107"/>
      <x:c r="T25" s="107"/>
    </x:row>
    <x:row r="26">
      <x:c r="B26" s="102"/>
      <x:c r="J26" s="102"/>
      <x:c r="K26" s="107"/>
      <x:c r="L26" s="112"/>
      <x:c r="M26" s="112"/>
      <x:c r="N26" s="117"/>
      <x:c r="O26" s="122"/>
      <x:c r="P26" s="107"/>
      <x:c r="Q26" s="107"/>
      <x:c r="R26" s="107"/>
      <x:c r="S26" s="107"/>
      <x:c r="T26" s="107"/>
    </x:row>
    <x:row r="27">
      <x:c r="B27" s="102"/>
      <x:c r="J27" s="102"/>
      <x:c r="K27" s="107"/>
      <x:c r="L27" s="112"/>
      <x:c r="M27" s="112"/>
      <x:c r="N27" s="117"/>
      <x:c r="O27" s="122"/>
      <x:c r="P27" s="107"/>
      <x:c r="Q27" s="107"/>
      <x:c r="R27" s="107"/>
      <x:c r="S27" s="107"/>
      <x:c r="T27" s="107"/>
    </x:row>
    <x:row r="28">
      <x:c r="B28" s="102"/>
      <x:c r="J28" s="102"/>
      <x:c r="K28" s="107"/>
      <x:c r="L28" s="112"/>
      <x:c r="M28" s="112"/>
      <x:c r="N28" s="117"/>
      <x:c r="O28" s="122"/>
      <x:c r="P28" s="107"/>
      <x:c r="Q28" s="107"/>
      <x:c r="R28" s="107"/>
      <x:c r="S28" s="107"/>
      <x:c r="T28" s="107"/>
    </x:row>
    <x:row r="29">
      <x:c r="B29" s="102"/>
      <x:c r="J29" s="102"/>
      <x:c r="K29" s="107"/>
      <x:c r="L29" s="112"/>
      <x:c r="M29" s="112"/>
      <x:c r="N29" s="117"/>
      <x:c r="O29" s="122"/>
      <x:c r="P29" s="107"/>
      <x:c r="Q29" s="107"/>
      <x:c r="R29" s="107"/>
      <x:c r="S29" s="107"/>
      <x:c r="T29" s="107"/>
    </x:row>
    <x:row r="30">
      <x:c r="B30" s="102"/>
      <x:c r="J30" s="102"/>
      <x:c r="K30" s="107"/>
      <x:c r="L30" s="112"/>
      <x:c r="M30" s="112"/>
      <x:c r="N30" s="117"/>
      <x:c r="O30" s="122"/>
      <x:c r="P30" s="107"/>
      <x:c r="Q30" s="107"/>
      <x:c r="R30" s="107"/>
      <x:c r="S30" s="107"/>
      <x:c r="T30" s="107"/>
    </x:row>
    <x:row r="31">
      <x:c r="B31" s="102"/>
      <x:c r="J31" s="102"/>
      <x:c r="K31" s="107"/>
      <x:c r="L31" s="112"/>
      <x:c r="M31" s="112"/>
      <x:c r="N31" s="117"/>
      <x:c r="O31" s="122"/>
      <x:c r="P31" s="107"/>
      <x:c r="Q31" s="107"/>
      <x:c r="R31" s="107"/>
      <x:c r="S31" s="107"/>
      <x:c r="T31" s="107"/>
    </x:row>
    <x:row r="32">
      <x:c r="B32" s="102"/>
      <x:c r="J32" s="102"/>
      <x:c r="K32" s="107"/>
      <x:c r="L32" s="112"/>
      <x:c r="M32" s="112"/>
      <x:c r="N32" s="117"/>
      <x:c r="O32" s="122"/>
      <x:c r="P32" s="107"/>
      <x:c r="Q32" s="107"/>
      <x:c r="R32" s="107"/>
      <x:c r="S32" s="107"/>
      <x:c r="T32" s="107"/>
    </x:row>
    <x:row r="33">
      <x:c r="B33" s="102"/>
      <x:c r="J33" s="102"/>
      <x:c r="K33" s="107"/>
      <x:c r="L33" s="112"/>
      <x:c r="M33" s="112"/>
      <x:c r="N33" s="117"/>
      <x:c r="O33" s="122"/>
      <x:c r="P33" s="107"/>
      <x:c r="Q33" s="107"/>
      <x:c r="R33" s="107"/>
      <x:c r="S33" s="107"/>
      <x:c r="T33" s="107"/>
    </x:row>
    <x:row r="34">
      <x:c r="B34" s="102"/>
      <x:c r="J34" s="102"/>
      <x:c r="K34" s="107"/>
      <x:c r="L34" s="112"/>
      <x:c r="M34" s="112"/>
      <x:c r="N34" s="117"/>
      <x:c r="O34" s="122"/>
      <x:c r="P34" s="107"/>
      <x:c r="Q34" s="107"/>
      <x:c r="R34" s="107"/>
      <x:c r="S34" s="107"/>
      <x:c r="T34" s="107"/>
    </x:row>
    <x:row r="35">
      <x:c r="B35" s="102"/>
      <x:c r="J35" s="102"/>
      <x:c r="K35" s="107"/>
      <x:c r="L35" s="112"/>
      <x:c r="M35" s="112"/>
      <x:c r="N35" s="117"/>
      <x:c r="O35" s="122"/>
      <x:c r="P35" s="107"/>
      <x:c r="Q35" s="107"/>
      <x:c r="R35" s="107"/>
      <x:c r="S35" s="107"/>
      <x:c r="T35" s="107"/>
    </x:row>
    <x:row r="36">
      <x:c r="B36" s="102"/>
      <x:c r="J36" s="102"/>
      <x:c r="K36" s="107"/>
      <x:c r="L36" s="112"/>
      <x:c r="M36" s="112"/>
      <x:c r="N36" s="117"/>
      <x:c r="O36" s="122"/>
      <x:c r="P36" s="107"/>
      <x:c r="Q36" s="107"/>
      <x:c r="R36" s="107"/>
      <x:c r="S36" s="107"/>
      <x:c r="T36" s="107"/>
    </x:row>
    <x:row r="37">
      <x:c r="B37" s="102"/>
      <x:c r="J37" s="102"/>
      <x:c r="K37" s="107"/>
      <x:c r="L37" s="112"/>
      <x:c r="M37" s="112"/>
      <x:c r="N37" s="117"/>
      <x:c r="O37" s="122"/>
      <x:c r="P37" s="107"/>
      <x:c r="Q37" s="107"/>
      <x:c r="R37" s="107"/>
      <x:c r="S37" s="107"/>
      <x:c r="T37" s="107"/>
    </x:row>
    <x:row r="38">
      <x:c r="B38" s="102"/>
      <x:c r="J38" s="102"/>
      <x:c r="K38" s="107"/>
      <x:c r="L38" s="112"/>
      <x:c r="M38" s="112"/>
      <x:c r="N38" s="117"/>
      <x:c r="O38" s="122"/>
      <x:c r="P38" s="107"/>
      <x:c r="Q38" s="107"/>
      <x:c r="R38" s="107"/>
      <x:c r="S38" s="107"/>
      <x:c r="T38" s="107"/>
    </x:row>
    <x:row r="39">
      <x:c r="B39" s="102"/>
      <x:c r="J39" s="102"/>
      <x:c r="K39" s="107"/>
      <x:c r="L39" s="112"/>
      <x:c r="M39" s="112"/>
      <x:c r="N39" s="117"/>
      <x:c r="O39" s="122"/>
      <x:c r="P39" s="107"/>
      <x:c r="Q39" s="107"/>
      <x:c r="R39" s="107"/>
      <x:c r="S39" s="107"/>
      <x:c r="T39" s="107"/>
    </x:row>
    <x:row r="40">
      <x:c r="B40" s="102"/>
      <x:c r="J40" s="102"/>
      <x:c r="K40" s="107"/>
      <x:c r="L40" s="112"/>
      <x:c r="M40" s="112"/>
      <x:c r="N40" s="117"/>
      <x:c r="O40" s="122"/>
      <x:c r="P40" s="107"/>
      <x:c r="Q40" s="107"/>
      <x:c r="R40" s="107"/>
      <x:c r="S40" s="107"/>
      <x:c r="T40" s="107"/>
    </x:row>
    <x:row r="41">
      <x:c r="B41" s="102"/>
      <x:c r="J41" s="102"/>
      <x:c r="K41" s="107"/>
      <x:c r="L41" s="112"/>
      <x:c r="M41" s="112"/>
      <x:c r="N41" s="117"/>
      <x:c r="O41" s="122"/>
      <x:c r="P41" s="107"/>
      <x:c r="Q41" s="107"/>
      <x:c r="R41" s="107"/>
      <x:c r="S41" s="107"/>
      <x:c r="T41" s="107"/>
    </x:row>
    <x:row r="42">
      <x:c r="B42" s="102"/>
      <x:c r="J42" s="102"/>
      <x:c r="K42" s="107"/>
      <x:c r="L42" s="112"/>
      <x:c r="M42" s="112"/>
      <x:c r="N42" s="117"/>
      <x:c r="O42" s="122"/>
      <x:c r="P42" s="107"/>
      <x:c r="Q42" s="107"/>
      <x:c r="R42" s="107"/>
      <x:c r="S42" s="107"/>
      <x:c r="T42" s="107"/>
    </x:row>
    <x:row r="43">
      <x:c r="B43" s="102"/>
      <x:c r="J43" s="102"/>
      <x:c r="K43" s="107"/>
      <x:c r="L43" s="112"/>
      <x:c r="M43" s="112"/>
      <x:c r="N43" s="117"/>
      <x:c r="O43" s="122"/>
      <x:c r="P43" s="107"/>
      <x:c r="Q43" s="107"/>
      <x:c r="R43" s="107"/>
      <x:c r="S43" s="107"/>
      <x:c r="T43" s="107"/>
    </x:row>
    <x:row r="44">
      <x:c r="B44" s="102"/>
      <x:c r="J44" s="102"/>
      <x:c r="K44" s="107"/>
      <x:c r="L44" s="112"/>
      <x:c r="M44" s="112"/>
      <x:c r="N44" s="117"/>
      <x:c r="O44" s="122"/>
      <x:c r="P44" s="107"/>
      <x:c r="Q44" s="107"/>
      <x:c r="R44" s="107"/>
      <x:c r="S44" s="107"/>
      <x:c r="T44" s="107"/>
    </x:row>
    <x:row r="45">
      <x:c r="B45" s="102"/>
      <x:c r="J45" s="102"/>
      <x:c r="K45" s="107"/>
      <x:c r="L45" s="112"/>
      <x:c r="M45" s="112"/>
      <x:c r="N45" s="117"/>
      <x:c r="O45" s="122"/>
      <x:c r="P45" s="107"/>
      <x:c r="Q45" s="107"/>
      <x:c r="R45" s="107"/>
      <x:c r="S45" s="107"/>
      <x:c r="T45" s="107"/>
    </x:row>
    <x:row r="46">
      <x:c r="B46" s="102"/>
      <x:c r="J46" s="102"/>
      <x:c r="K46" s="107"/>
      <x:c r="L46" s="112"/>
      <x:c r="M46" s="112"/>
      <x:c r="N46" s="117"/>
      <x:c r="O46" s="122"/>
      <x:c r="P46" s="107"/>
      <x:c r="Q46" s="107"/>
      <x:c r="R46" s="107"/>
      <x:c r="S46" s="107"/>
      <x:c r="T46" s="107"/>
    </x:row>
    <x:row r="47">
      <x:c r="B47" s="102"/>
      <x:c r="J47" s="102"/>
      <x:c r="K47" s="107"/>
      <x:c r="L47" s="112"/>
      <x:c r="M47" s="112"/>
      <x:c r="N47" s="117"/>
      <x:c r="O47" s="122"/>
      <x:c r="P47" s="107"/>
      <x:c r="Q47" s="107"/>
      <x:c r="R47" s="107"/>
      <x:c r="S47" s="107"/>
      <x:c r="T47" s="107"/>
    </x:row>
    <x:row r="48">
      <x:c r="B48" s="102"/>
      <x:c r="J48" s="102"/>
      <x:c r="K48" s="107"/>
      <x:c r="L48" s="112"/>
      <x:c r="M48" s="112"/>
      <x:c r="N48" s="117"/>
      <x:c r="O48" s="122"/>
      <x:c r="P48" s="107"/>
      <x:c r="Q48" s="107"/>
      <x:c r="R48" s="107"/>
      <x:c r="S48" s="107"/>
      <x:c r="T48" s="107"/>
    </x:row>
    <x:row r="49">
      <x:c r="B49" s="102"/>
      <x:c r="J49" s="102"/>
      <x:c r="K49" s="107"/>
      <x:c r="L49" s="112"/>
      <x:c r="M49" s="112"/>
      <x:c r="N49" s="117"/>
      <x:c r="O49" s="122"/>
      <x:c r="P49" s="107"/>
      <x:c r="Q49" s="107"/>
      <x:c r="R49" s="107"/>
      <x:c r="S49" s="107"/>
      <x:c r="T49" s="107"/>
    </x:row>
    <x:row r="50">
      <x:c r="B50" s="102"/>
      <x:c r="J50" s="102"/>
      <x:c r="K50" s="107"/>
      <x:c r="L50" s="112"/>
      <x:c r="M50" s="112"/>
      <x:c r="N50" s="117"/>
      <x:c r="O50" s="122"/>
      <x:c r="P50" s="107"/>
      <x:c r="Q50" s="107"/>
      <x:c r="R50" s="107"/>
      <x:c r="S50" s="107"/>
      <x:c r="T50" s="107"/>
    </x:row>
    <x:row r="51">
      <x:c r="B51" s="102"/>
      <x:c r="J51" s="102"/>
      <x:c r="K51" s="107"/>
      <x:c r="L51" s="112"/>
      <x:c r="M51" s="112"/>
      <x:c r="N51" s="117"/>
      <x:c r="O51" s="122"/>
      <x:c r="P51" s="107"/>
      <x:c r="Q51" s="107"/>
      <x:c r="R51" s="107"/>
      <x:c r="S51" s="107"/>
      <x:c r="T51" s="107"/>
    </x:row>
    <x:row r="52">
      <x:c r="B52" s="102"/>
      <x:c r="J52" s="102"/>
      <x:c r="K52" s="107"/>
      <x:c r="L52" s="112"/>
      <x:c r="M52" s="112"/>
      <x:c r="N52" s="117"/>
      <x:c r="O52" s="122"/>
      <x:c r="P52" s="107"/>
      <x:c r="Q52" s="107"/>
      <x:c r="R52" s="107"/>
      <x:c r="S52" s="107"/>
      <x:c r="T52" s="107"/>
    </x:row>
    <x:row r="53">
      <x:c r="B53" s="102"/>
      <x:c r="J53" s="102"/>
      <x:c r="K53" s="107"/>
      <x:c r="L53" s="112"/>
      <x:c r="M53" s="112"/>
      <x:c r="N53" s="117"/>
      <x:c r="O53" s="122"/>
      <x:c r="P53" s="107"/>
      <x:c r="Q53" s="107"/>
      <x:c r="R53" s="107"/>
      <x:c r="S53" s="107"/>
      <x:c r="T53" s="107"/>
    </x:row>
    <x:row r="54">
      <x:c r="B54" s="102"/>
      <x:c r="J54" s="102"/>
      <x:c r="K54" s="107"/>
      <x:c r="L54" s="112"/>
      <x:c r="M54" s="112"/>
      <x:c r="N54" s="117"/>
      <x:c r="O54" s="122"/>
      <x:c r="P54" s="107"/>
      <x:c r="Q54" s="107"/>
      <x:c r="R54" s="107"/>
      <x:c r="S54" s="107"/>
      <x:c r="T54" s="107"/>
    </x:row>
    <x:row r="55">
      <x:c r="B55" s="102"/>
      <x:c r="J55" s="102"/>
      <x:c r="K55" s="107"/>
      <x:c r="L55" s="112"/>
      <x:c r="M55" s="112"/>
      <x:c r="N55" s="117"/>
      <x:c r="O55" s="122"/>
      <x:c r="P55" s="107"/>
      <x:c r="Q55" s="107"/>
      <x:c r="R55" s="107"/>
      <x:c r="S55" s="107"/>
      <x:c r="T55" s="107"/>
    </x:row>
    <x:row r="56">
      <x:c r="B56" s="102"/>
      <x:c r="J56" s="102"/>
      <x:c r="K56" s="107"/>
      <x:c r="L56" s="112"/>
      <x:c r="M56" s="112"/>
      <x:c r="N56" s="117"/>
      <x:c r="O56" s="122"/>
      <x:c r="P56" s="107"/>
      <x:c r="Q56" s="107"/>
      <x:c r="R56" s="107"/>
      <x:c r="S56" s="107"/>
      <x:c r="T56" s="107"/>
    </x:row>
    <x:row r="57">
      <x:c r="B57" s="102"/>
      <x:c r="J57" s="102"/>
      <x:c r="K57" s="107"/>
      <x:c r="L57" s="112"/>
      <x:c r="M57" s="112"/>
      <x:c r="N57" s="117"/>
      <x:c r="O57" s="122"/>
      <x:c r="P57" s="107"/>
      <x:c r="Q57" s="107"/>
      <x:c r="R57" s="107"/>
      <x:c r="S57" s="107"/>
      <x:c r="T57" s="107"/>
    </x:row>
    <x:row r="58">
      <x:c r="B58" s="102"/>
      <x:c r="J58" s="102"/>
      <x:c r="K58" s="107"/>
      <x:c r="L58" s="112"/>
      <x:c r="M58" s="112"/>
      <x:c r="N58" s="117"/>
      <x:c r="O58" s="122"/>
      <x:c r="P58" s="107"/>
      <x:c r="Q58" s="107"/>
      <x:c r="R58" s="107"/>
      <x:c r="S58" s="107"/>
      <x:c r="T58" s="107"/>
    </x:row>
    <x:row r="59">
      <x:c r="B59" s="102"/>
      <x:c r="J59" s="102"/>
      <x:c r="K59" s="107"/>
      <x:c r="L59" s="112"/>
      <x:c r="M59" s="112"/>
      <x:c r="N59" s="117"/>
      <x:c r="O59" s="122"/>
      <x:c r="P59" s="107"/>
      <x:c r="Q59" s="107"/>
      <x:c r="R59" s="107"/>
      <x:c r="S59" s="107"/>
      <x:c r="T59" s="107"/>
    </x:row>
    <x:row r="60">
      <x:c r="B60" s="102"/>
      <x:c r="J60" s="102"/>
      <x:c r="K60" s="107"/>
      <x:c r="L60" s="112"/>
      <x:c r="M60" s="112"/>
      <x:c r="N60" s="117"/>
      <x:c r="O60" s="122"/>
      <x:c r="P60" s="107"/>
      <x:c r="Q60" s="107"/>
      <x:c r="R60" s="107"/>
      <x:c r="S60" s="107"/>
      <x:c r="T60" s="107"/>
    </x:row>
    <x:row r="61">
      <x:c r="B61" s="102"/>
      <x:c r="J61" s="102"/>
      <x:c r="K61" s="107"/>
      <x:c r="L61" s="112"/>
      <x:c r="M61" s="112"/>
      <x:c r="N61" s="117"/>
      <x:c r="O61" s="122"/>
      <x:c r="P61" s="107"/>
      <x:c r="Q61" s="107"/>
      <x:c r="R61" s="107"/>
      <x:c r="S61" s="107"/>
      <x:c r="T61" s="107"/>
    </x:row>
    <x:row r="62">
      <x:c r="B62" s="102"/>
      <x:c r="J62" s="102"/>
      <x:c r="K62" s="107"/>
      <x:c r="L62" s="112"/>
      <x:c r="M62" s="112"/>
      <x:c r="N62" s="117"/>
      <x:c r="O62" s="122"/>
      <x:c r="P62" s="107"/>
      <x:c r="Q62" s="107"/>
      <x:c r="R62" s="107"/>
      <x:c r="S62" s="107"/>
      <x:c r="T62" s="107"/>
    </x:row>
    <x:row r="63">
      <x:c r="B63" s="102"/>
      <x:c r="J63" s="102"/>
      <x:c r="K63" s="107"/>
      <x:c r="L63" s="112"/>
      <x:c r="M63" s="112"/>
      <x:c r="N63" s="117"/>
      <x:c r="O63" s="122"/>
      <x:c r="P63" s="107"/>
      <x:c r="Q63" s="107"/>
      <x:c r="R63" s="107"/>
      <x:c r="S63" s="107"/>
      <x:c r="T63" s="107"/>
    </x:row>
    <x:row r="64">
      <x:c r="B64" s="102"/>
      <x:c r="J64" s="102"/>
      <x:c r="K64" s="107"/>
      <x:c r="L64" s="112"/>
      <x:c r="M64" s="112"/>
      <x:c r="N64" s="117"/>
      <x:c r="O64" s="122"/>
      <x:c r="P64" s="107"/>
      <x:c r="Q64" s="107"/>
      <x:c r="R64" s="107"/>
      <x:c r="S64" s="107"/>
      <x:c r="T64" s="107"/>
    </x:row>
    <x:row r="65">
      <x:c r="B65" s="102"/>
      <x:c r="J65" s="102"/>
      <x:c r="K65" s="107"/>
      <x:c r="L65" s="112"/>
      <x:c r="M65" s="112"/>
      <x:c r="N65" s="117"/>
      <x:c r="O65" s="122"/>
      <x:c r="P65" s="107"/>
      <x:c r="Q65" s="107"/>
      <x:c r="R65" s="107"/>
      <x:c r="S65" s="107"/>
      <x:c r="T65" s="107"/>
    </x:row>
    <x:row r="66">
      <x:c r="B66" s="102"/>
      <x:c r="J66" s="102"/>
      <x:c r="K66" s="107"/>
      <x:c r="L66" s="112"/>
      <x:c r="M66" s="112"/>
      <x:c r="N66" s="117"/>
      <x:c r="O66" s="122"/>
      <x:c r="P66" s="107"/>
      <x:c r="Q66" s="107"/>
      <x:c r="R66" s="107"/>
      <x:c r="S66" s="107"/>
      <x:c r="T66" s="107"/>
    </x:row>
    <x:row r="67">
      <x:c r="B67" s="102"/>
      <x:c r="J67" s="102"/>
      <x:c r="K67" s="107"/>
      <x:c r="L67" s="112"/>
      <x:c r="M67" s="112"/>
      <x:c r="N67" s="117"/>
      <x:c r="O67" s="122"/>
      <x:c r="P67" s="107"/>
      <x:c r="Q67" s="107"/>
      <x:c r="R67" s="107"/>
      <x:c r="S67" s="107"/>
      <x:c r="T67" s="107"/>
    </x:row>
    <x:row r="68">
      <x:c r="B68" s="102"/>
      <x:c r="J68" s="102"/>
      <x:c r="K68" s="107"/>
      <x:c r="L68" s="112"/>
      <x:c r="M68" s="112"/>
      <x:c r="N68" s="117"/>
      <x:c r="O68" s="122"/>
      <x:c r="P68" s="107"/>
      <x:c r="Q68" s="107"/>
      <x:c r="R68" s="107"/>
      <x:c r="S68" s="107"/>
      <x:c r="T68" s="107"/>
    </x:row>
    <x:row r="69">
      <x:c r="B69" s="102"/>
      <x:c r="J69" s="102"/>
      <x:c r="K69" s="107"/>
      <x:c r="L69" s="112"/>
      <x:c r="M69" s="112"/>
      <x:c r="N69" s="117"/>
      <x:c r="O69" s="122"/>
      <x:c r="P69" s="107"/>
      <x:c r="Q69" s="107"/>
      <x:c r="R69" s="107"/>
      <x:c r="S69" s="107"/>
      <x:c r="T69" s="107"/>
    </x:row>
    <x:row r="70">
      <x:c r="B70" s="102"/>
      <x:c r="J70" s="102"/>
      <x:c r="K70" s="107"/>
      <x:c r="L70" s="112"/>
      <x:c r="M70" s="112"/>
      <x:c r="N70" s="117"/>
      <x:c r="O70" s="122"/>
      <x:c r="P70" s="107"/>
      <x:c r="Q70" s="107"/>
      <x:c r="R70" s="107"/>
      <x:c r="S70" s="107"/>
      <x:c r="T70" s="107"/>
    </x:row>
    <x:row r="71">
      <x:c r="B71" s="102"/>
      <x:c r="J71" s="102"/>
      <x:c r="K71" s="107"/>
      <x:c r="L71" s="112"/>
      <x:c r="M71" s="112"/>
      <x:c r="N71" s="117"/>
      <x:c r="O71" s="122"/>
      <x:c r="P71" s="107"/>
      <x:c r="Q71" s="107"/>
      <x:c r="R71" s="107"/>
      <x:c r="S71" s="107"/>
      <x:c r="T71" s="107"/>
    </x:row>
    <x:row r="72">
      <x:c r="B72" s="102"/>
      <x:c r="J72" s="102"/>
      <x:c r="K72" s="107"/>
      <x:c r="L72" s="112"/>
      <x:c r="M72" s="112"/>
      <x:c r="N72" s="117"/>
      <x:c r="O72" s="122"/>
      <x:c r="P72" s="107"/>
      <x:c r="Q72" s="107"/>
      <x:c r="R72" s="107"/>
      <x:c r="S72" s="107"/>
      <x:c r="T72" s="107"/>
    </x:row>
    <x:row r="73">
      <x:c r="B73" s="102"/>
      <x:c r="J73" s="102"/>
      <x:c r="K73" s="107"/>
      <x:c r="L73" s="112"/>
      <x:c r="M73" s="112"/>
      <x:c r="N73" s="117"/>
      <x:c r="O73" s="122"/>
      <x:c r="P73" s="107"/>
      <x:c r="Q73" s="107"/>
      <x:c r="R73" s="107"/>
      <x:c r="S73" s="107"/>
      <x:c r="T73" s="107"/>
    </x:row>
    <x:row r="74">
      <x:c r="B74" s="102"/>
      <x:c r="J74" s="102"/>
      <x:c r="K74" s="107"/>
      <x:c r="L74" s="112"/>
      <x:c r="M74" s="112"/>
      <x:c r="N74" s="117"/>
      <x:c r="O74" s="122"/>
      <x:c r="P74" s="107"/>
      <x:c r="Q74" s="107"/>
      <x:c r="R74" s="107"/>
      <x:c r="S74" s="107"/>
      <x:c r="T74" s="107"/>
    </x:row>
    <x:row r="75">
      <x:c r="B75" s="102"/>
      <x:c r="J75" s="102"/>
      <x:c r="K75" s="107"/>
      <x:c r="L75" s="112"/>
      <x:c r="M75" s="112"/>
      <x:c r="N75" s="117"/>
      <x:c r="O75" s="122"/>
      <x:c r="P75" s="107"/>
      <x:c r="Q75" s="107"/>
      <x:c r="R75" s="107"/>
      <x:c r="S75" s="107"/>
      <x:c r="T75" s="107"/>
    </x:row>
    <x:row r="76">
      <x:c r="B76" s="102"/>
      <x:c r="J76" s="102"/>
      <x:c r="K76" s="107"/>
      <x:c r="L76" s="112"/>
      <x:c r="M76" s="112"/>
      <x:c r="N76" s="117"/>
      <x:c r="O76" s="122"/>
      <x:c r="P76" s="107"/>
      <x:c r="Q76" s="107"/>
      <x:c r="R76" s="107"/>
      <x:c r="S76" s="107"/>
      <x:c r="T76" s="107"/>
    </x:row>
    <x:row r="77">
      <x:c r="B77" s="102"/>
      <x:c r="J77" s="102"/>
      <x:c r="K77" s="107"/>
      <x:c r="L77" s="112"/>
      <x:c r="M77" s="112"/>
      <x:c r="N77" s="117"/>
      <x:c r="O77" s="122"/>
      <x:c r="P77" s="107"/>
      <x:c r="Q77" s="107"/>
      <x:c r="R77" s="107"/>
      <x:c r="S77" s="107"/>
      <x:c r="T77" s="107"/>
    </x:row>
    <x:row r="78">
      <x:c r="B78" s="102"/>
      <x:c r="J78" s="102"/>
      <x:c r="K78" s="107"/>
      <x:c r="L78" s="112"/>
      <x:c r="M78" s="112"/>
      <x:c r="N78" s="117"/>
      <x:c r="O78" s="122"/>
      <x:c r="P78" s="107"/>
      <x:c r="Q78" s="107"/>
      <x:c r="R78" s="107"/>
      <x:c r="S78" s="107"/>
      <x:c r="T78" s="107"/>
    </x:row>
    <x:row r="79">
      <x:c r="B79" s="102"/>
      <x:c r="J79" s="102"/>
      <x:c r="K79" s="107"/>
      <x:c r="L79" s="112"/>
      <x:c r="M79" s="112"/>
      <x:c r="N79" s="117"/>
      <x:c r="O79" s="122"/>
      <x:c r="P79" s="107"/>
      <x:c r="Q79" s="107"/>
      <x:c r="R79" s="107"/>
      <x:c r="S79" s="107"/>
      <x:c r="T79" s="107"/>
    </x:row>
    <x:row r="80">
      <x:c r="B80" s="102"/>
      <x:c r="J80" s="102"/>
      <x:c r="K80" s="107"/>
      <x:c r="L80" s="112"/>
      <x:c r="M80" s="112"/>
      <x:c r="N80" s="117"/>
      <x:c r="O80" s="122"/>
      <x:c r="P80" s="107"/>
      <x:c r="Q80" s="107"/>
      <x:c r="R80" s="107"/>
      <x:c r="S80" s="107"/>
      <x:c r="T80" s="107"/>
    </x:row>
    <x:row r="81">
      <x:c r="B81" s="102"/>
      <x:c r="J81" s="102"/>
      <x:c r="K81" s="107"/>
      <x:c r="L81" s="112"/>
      <x:c r="M81" s="112"/>
      <x:c r="N81" s="117"/>
      <x:c r="O81" s="122"/>
      <x:c r="P81" s="107"/>
      <x:c r="Q81" s="107"/>
      <x:c r="R81" s="107"/>
      <x:c r="S81" s="107"/>
      <x:c r="T81" s="107"/>
    </x:row>
    <x:row r="82">
      <x:c r="B82" s="102"/>
      <x:c r="J82" s="102"/>
      <x:c r="K82" s="107"/>
      <x:c r="L82" s="112"/>
      <x:c r="M82" s="112"/>
      <x:c r="N82" s="117"/>
      <x:c r="O82" s="122"/>
      <x:c r="P82" s="107"/>
      <x:c r="Q82" s="107"/>
      <x:c r="R82" s="107"/>
      <x:c r="S82" s="107"/>
      <x:c r="T82" s="107"/>
    </x:row>
    <x:row r="83">
      <x:c r="B83" s="102"/>
      <x:c r="J83" s="102"/>
      <x:c r="K83" s="107"/>
      <x:c r="L83" s="112"/>
      <x:c r="M83" s="112"/>
      <x:c r="N83" s="117"/>
      <x:c r="O83" s="122"/>
      <x:c r="P83" s="107"/>
      <x:c r="Q83" s="107"/>
      <x:c r="R83" s="107"/>
      <x:c r="S83" s="107"/>
      <x:c r="T83" s="107"/>
    </x:row>
    <x:row r="84">
      <x:c r="B84" s="102"/>
      <x:c r="J84" s="102"/>
      <x:c r="K84" s="107"/>
      <x:c r="L84" s="112"/>
      <x:c r="M84" s="112"/>
      <x:c r="N84" s="117"/>
      <x:c r="O84" s="122"/>
      <x:c r="P84" s="107"/>
      <x:c r="Q84" s="107"/>
      <x:c r="R84" s="107"/>
      <x:c r="S84" s="107"/>
      <x:c r="T84" s="107"/>
    </x:row>
    <x:row r="85">
      <x:c r="B85" s="102"/>
      <x:c r="J85" s="102"/>
      <x:c r="K85" s="107"/>
      <x:c r="L85" s="112"/>
      <x:c r="M85" s="112"/>
      <x:c r="N85" s="117"/>
      <x:c r="O85" s="122"/>
      <x:c r="P85" s="107"/>
      <x:c r="Q85" s="107"/>
      <x:c r="R85" s="107"/>
      <x:c r="S85" s="107"/>
      <x:c r="T85" s="107"/>
    </x:row>
    <x:row r="86">
      <x:c r="B86" s="102"/>
      <x:c r="J86" s="102"/>
      <x:c r="K86" s="107"/>
      <x:c r="L86" s="112"/>
      <x:c r="M86" s="112"/>
      <x:c r="N86" s="117"/>
      <x:c r="O86" s="122"/>
      <x:c r="P86" s="107"/>
      <x:c r="Q86" s="107"/>
      <x:c r="R86" s="107"/>
      <x:c r="S86" s="107"/>
      <x:c r="T86" s="107"/>
    </x:row>
    <x:row r="87">
      <x:c r="B87" s="102"/>
      <x:c r="J87" s="102"/>
      <x:c r="K87" s="107"/>
      <x:c r="L87" s="112"/>
      <x:c r="M87" s="112"/>
      <x:c r="N87" s="117"/>
      <x:c r="O87" s="122"/>
      <x:c r="P87" s="107"/>
      <x:c r="Q87" s="107"/>
      <x:c r="R87" s="107"/>
      <x:c r="S87" s="107"/>
      <x:c r="T87" s="107"/>
    </x:row>
    <x:row r="88">
      <x:c r="B88" s="102"/>
      <x:c r="J88" s="102"/>
      <x:c r="K88" s="107"/>
      <x:c r="L88" s="112"/>
      <x:c r="M88" s="112"/>
      <x:c r="N88" s="117"/>
      <x:c r="O88" s="122"/>
      <x:c r="P88" s="107"/>
      <x:c r="Q88" s="107"/>
      <x:c r="R88" s="107"/>
      <x:c r="S88" s="107"/>
      <x:c r="T88" s="107"/>
    </x:row>
    <x:row r="89">
      <x:c r="B89" s="102"/>
      <x:c r="J89" s="102"/>
      <x:c r="K89" s="107"/>
      <x:c r="L89" s="112"/>
      <x:c r="M89" s="112"/>
      <x:c r="N89" s="117"/>
      <x:c r="O89" s="122"/>
      <x:c r="P89" s="107"/>
      <x:c r="Q89" s="107"/>
      <x:c r="R89" s="107"/>
      <x:c r="S89" s="107"/>
      <x:c r="T89" s="107"/>
    </x:row>
    <x:row r="90">
      <x:c r="B90" s="102"/>
      <x:c r="J90" s="102"/>
      <x:c r="K90" s="107"/>
      <x:c r="L90" s="112"/>
      <x:c r="M90" s="112"/>
      <x:c r="N90" s="117"/>
      <x:c r="O90" s="122"/>
      <x:c r="P90" s="107"/>
      <x:c r="Q90" s="107"/>
      <x:c r="R90" s="107"/>
      <x:c r="S90" s="107"/>
      <x:c r="T90" s="107"/>
    </x:row>
    <x:row r="91">
      <x:c r="B91" s="102"/>
      <x:c r="J91" s="102"/>
      <x:c r="K91" s="107"/>
      <x:c r="L91" s="112"/>
      <x:c r="M91" s="112"/>
      <x:c r="N91" s="117"/>
      <x:c r="O91" s="122"/>
      <x:c r="P91" s="107"/>
      <x:c r="Q91" s="107"/>
      <x:c r="R91" s="107"/>
      <x:c r="S91" s="107"/>
      <x:c r="T91" s="107"/>
    </x:row>
    <x:row r="92">
      <x:c r="B92" s="102"/>
      <x:c r="J92" s="102"/>
      <x:c r="K92" s="107"/>
      <x:c r="L92" s="112"/>
      <x:c r="M92" s="112"/>
      <x:c r="N92" s="117"/>
      <x:c r="O92" s="122"/>
      <x:c r="P92" s="107"/>
      <x:c r="Q92" s="107"/>
      <x:c r="R92" s="107"/>
      <x:c r="S92" s="107"/>
      <x:c r="T92" s="107"/>
    </x:row>
    <x:row r="93">
      <x:c r="B93" s="102"/>
      <x:c r="J93" s="102"/>
      <x:c r="K93" s="107"/>
      <x:c r="L93" s="112"/>
      <x:c r="M93" s="112"/>
      <x:c r="N93" s="117"/>
      <x:c r="O93" s="122"/>
      <x:c r="P93" s="107"/>
      <x:c r="Q93" s="107"/>
      <x:c r="R93" s="107"/>
      <x:c r="S93" s="107"/>
      <x:c r="T93" s="107"/>
    </x:row>
    <x:row r="94">
      <x:c r="B94" s="102"/>
      <x:c r="J94" s="102"/>
      <x:c r="K94" s="107"/>
      <x:c r="L94" s="112"/>
      <x:c r="M94" s="112"/>
      <x:c r="N94" s="117"/>
      <x:c r="O94" s="122"/>
      <x:c r="P94" s="107"/>
      <x:c r="Q94" s="107"/>
      <x:c r="R94" s="107"/>
      <x:c r="S94" s="107"/>
      <x:c r="T94" s="107"/>
    </x:row>
    <x:row r="95">
      <x:c r="B95" s="102"/>
      <x:c r="J95" s="102"/>
      <x:c r="K95" s="107"/>
      <x:c r="L95" s="112"/>
      <x:c r="M95" s="112"/>
      <x:c r="N95" s="117"/>
      <x:c r="O95" s="122"/>
      <x:c r="P95" s="107"/>
      <x:c r="Q95" s="107"/>
      <x:c r="R95" s="107"/>
      <x:c r="S95" s="107"/>
      <x:c r="T95" s="107"/>
    </x:row>
    <x:row r="96">
      <x:c r="B96" s="102"/>
      <x:c r="J96" s="102"/>
      <x:c r="K96" s="107"/>
      <x:c r="L96" s="112"/>
      <x:c r="M96" s="112"/>
      <x:c r="N96" s="117"/>
      <x:c r="O96" s="122"/>
      <x:c r="P96" s="107"/>
      <x:c r="Q96" s="107"/>
      <x:c r="R96" s="107"/>
      <x:c r="S96" s="107"/>
      <x:c r="T96" s="107"/>
    </x:row>
    <x:row r="97">
      <x:c r="B97" s="102"/>
      <x:c r="J97" s="102"/>
      <x:c r="K97" s="107"/>
      <x:c r="L97" s="112"/>
      <x:c r="M97" s="112"/>
      <x:c r="N97" s="117"/>
      <x:c r="O97" s="122"/>
      <x:c r="P97" s="107"/>
      <x:c r="Q97" s="107"/>
      <x:c r="R97" s="107"/>
      <x:c r="S97" s="107"/>
      <x:c r="T97" s="107"/>
    </x:row>
    <x:row r="98">
      <x:c r="B98" s="102"/>
      <x:c r="J98" s="102"/>
      <x:c r="K98" s="107"/>
      <x:c r="L98" s="112"/>
      <x:c r="M98" s="112"/>
      <x:c r="N98" s="117"/>
      <x:c r="O98" s="122"/>
      <x:c r="P98" s="107"/>
      <x:c r="Q98" s="107"/>
      <x:c r="R98" s="107"/>
      <x:c r="S98" s="107"/>
      <x:c r="T98" s="107"/>
    </x:row>
    <x:row r="99">
      <x:c r="B99" s="102"/>
      <x:c r="J99" s="102"/>
      <x:c r="K99" s="107"/>
      <x:c r="L99" s="112"/>
      <x:c r="M99" s="112"/>
      <x:c r="N99" s="117"/>
      <x:c r="O99" s="122"/>
      <x:c r="P99" s="107"/>
      <x:c r="Q99" s="107"/>
      <x:c r="R99" s="107"/>
      <x:c r="S99" s="107"/>
      <x:c r="T99" s="107"/>
    </x:row>
    <x:row r="100">
      <x:c r="B100" s="102"/>
      <x:c r="J100" s="102"/>
      <x:c r="K100" s="107"/>
      <x:c r="L100" s="112"/>
      <x:c r="M100" s="112"/>
      <x:c r="N100" s="117"/>
      <x:c r="O100" s="122"/>
      <x:c r="P100" s="107"/>
      <x:c r="Q100" s="107"/>
      <x:c r="R100" s="107"/>
      <x:c r="S100" s="107"/>
      <x:c r="T100" s="107"/>
    </x:row>
  </x:sheetData>
  <x:mergeCells>
    <x:mergeCell ref="A1:V1"/>
    <x:mergeCell ref="A2:V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28" hidden="0" customWidth="1"/>
    <x:col min="4" max="4" width="34" hidden="0" customWidth="1"/>
    <x:col min="5" max="5" width="30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0" hidden="0" customWidth="1"/>
    <x:col min="13" max="13" width="12" hidden="0" customWidth="1"/>
    <x:col min="14" max="14" width="34" hidden="0" customWidth="1"/>
  </x:cols>
  <x:sheetData>
    <x:row r="1" ht="34" customHeight="1">
      <x:c r="A1" s="3" t="str">
        <x:v>选题实验 | 用证据与可收藏资产排序</x:v>
      </x:c>
      <x:c r="B1" s="3" t="str">
        <x:v>选题实验 | 用证据与可收藏资产排序</x:v>
      </x:c>
      <x:c r="C1" s="3" t="str">
        <x:v>选题实验 | 用证据与可收藏资产排序</x:v>
      </x:c>
      <x:c r="D1" s="3" t="str">
        <x:v>选题实验 | 用证据与可收藏资产排序</x:v>
      </x:c>
      <x:c r="E1" s="3" t="str">
        <x:v>选题实验 | 用证据与可收藏资产排序</x:v>
      </x:c>
      <x:c r="F1" s="3" t="str">
        <x:v>选题实验 | 用证据与可收藏资产排序</x:v>
      </x:c>
      <x:c r="G1" s="3" t="str">
        <x:v>选题实验 | 用证据与可收藏资产排序</x:v>
      </x:c>
      <x:c r="H1" s="3" t="str">
        <x:v>选题实验 | 用证据与可收藏资产排序</x:v>
      </x:c>
      <x:c r="I1" s="3" t="str">
        <x:v>选题实验 | 用证据与可收藏资产排序</x:v>
      </x:c>
      <x:c r="J1" s="3" t="str">
        <x:v>选题实验 | 用证据与可收藏资产排序</x:v>
      </x:c>
      <x:c r="K1" s="3" t="str">
        <x:v>选题实验 | 用证据与可收藏资产排序</x:v>
      </x:c>
      <x:c r="L1" s="3" t="str">
        <x:v>选题实验 | 用证据与可收藏资产排序</x:v>
      </x:c>
      <x:c r="M1" s="3" t="str">
        <x:v>选题实验 | 用证据与可收藏资产排序</x:v>
      </x:c>
      <x:c r="N1" s="3" t="str">
        <x:v>选题实验 | 用证据与可收藏资产排序</x:v>
      </x:c>
    </x:row>
    <x:row r="2">
      <x:c r="A2" s="125" t="str">
        <x:v>分数只是优先级辅助。任何选题若没有真实证据或可命名资产，即使总分高也不能进入写稿。</x:v>
      </x:c>
      <x:c r="B2" s="125"/>
      <x:c r="C2" s="125"/>
      <x:c r="D2" s="125"/>
      <x:c r="E2" s="125"/>
      <x:c r="F2" s="125"/>
      <x:c r="G2" s="125"/>
      <x:c r="H2" s="125"/>
      <x:c r="I2" s="125"/>
      <x:c r="J2" s="125"/>
      <x:c r="K2" s="125"/>
      <x:c r="L2" s="125"/>
      <x:c r="M2" s="125"/>
      <x:c r="N2" s="125"/>
    </x:row>
    <x:row r="4" ht="28" customHeight="1">
      <x:c r="A4" s="33" t="str">
        <x:v>内容池</x:v>
      </x:c>
      <x:c r="B4" s="34" t="str">
        <x:v>候选选题</x:v>
      </x:c>
      <x:c r="C4" s="34" t="str">
        <x:v>观众问题</x:v>
      </x:c>
      <x:c r="D4" s="34" t="str">
        <x:v>证据计划</x:v>
      </x:c>
      <x:c r="E4" s="34" t="str">
        <x:v>交付资产</x:v>
      </x:c>
      <x:c r="F4" s="34" t="str">
        <x:v>结果即时性</x:v>
      </x:c>
      <x:c r="G4" s="34" t="str">
        <x:v>受众匹配</x:v>
      </x:c>
      <x:c r="H4" s="34" t="str">
        <x:v>收藏价值</x:v>
      </x:c>
      <x:c r="I4" s="34" t="str">
        <x:v>证据强度</x:v>
      </x:c>
      <x:c r="J4" s="34" t="str">
        <x:v>评论潜力</x:v>
      </x:c>
      <x:c r="K4" s="34" t="str">
        <x:v>制作负担</x:v>
      </x:c>
      <x:c r="L4" s="34" t="str">
        <x:v>风险</x:v>
      </x:c>
      <x:c r="M4" s="34" t="str">
        <x:v>加权分</x:v>
      </x:c>
      <x:c r="N4" s="35" t="str">
        <x:v>下一步</x:v>
      </x:c>
    </x:row>
    <x:row r="5">
      <x:c r="A5" s="54" t="str">
        <x:v>Skill真实跑通</x:v>
      </x:c>
      <x:c r="B5" s="55" t="str">
        <x:v>跑通一个 Codex Skill：从安装到验收</x:v>
      </x:c>
      <x:c r="C5" s="55" t="str">
        <x:v>怎么判断 Skill 真的可用</x:v>
      </x:c>
      <x:c r="D5" s="55" t="str">
        <x:v>版本 + 安装 + 运行 + 失败边界</x:v>
      </x:c>
      <x:c r="E5" s="55" t="str">
        <x:v>安装提示词 + 验收清单</x:v>
      </x:c>
      <x:c r="F5" s="137" t="n">
        <x:v>9</x:v>
      </x:c>
      <x:c r="G5" s="137" t="n">
        <x:v>10</x:v>
      </x:c>
      <x:c r="H5" s="137" t="n">
        <x:v>9</x:v>
      </x:c>
      <x:c r="I5" s="137" t="n">
        <x:v>8</x:v>
      </x:c>
      <x:c r="J5" s="137" t="n">
        <x:v>8</x:v>
      </x:c>
      <x:c r="K5" s="137" t="n">
        <x:v>6</x:v>
      </x:c>
      <x:c r="L5" s="137" t="n">
        <x:v>3</x:v>
      </x:c>
      <x:c r="M5" s="140" t="n">
        <x:f>F5*$B$11+G5*$B$12+H5*$B$13+I5*$B$14+J5*$B$15-K5*$B$16-L5*$B$17</x:f>
        <x:v>6.799999999999999</x:v>
      </x:c>
      <x:c r="N5" s="56" t="str">
        <x:v>选择一个可公开测试的 Skill</x:v>
      </x:c>
    </x:row>
    <x:row r="6">
      <x:c r="A6" s="57" t="str">
        <x:v>Agent工作流拆解</x:v>
      </x:c>
      <x:c r="B6" s="58" t="str">
        <x:v>把任务拆成 Agent 工作流并设置人工门禁</x:v>
      </x:c>
      <x:c r="C6" s="58" t="str">
        <x:v>Agent 到底在哪些环节有用</x:v>
      </x:c>
      <x:c r="D6" s="58" t="str">
        <x:v>流程图 + 成功/回退日志</x:v>
      </x:c>
      <x:c r="E6" s="58" t="str">
        <x:v>工作流图 + 门禁清单 + 提示词</x:v>
      </x:c>
      <x:c r="F6" s="138" t="n">
        <x:v>8</x:v>
      </x:c>
      <x:c r="G6" s="138" t="n">
        <x:v>10</x:v>
      </x:c>
      <x:c r="H6" s="138" t="n">
        <x:v>10</x:v>
      </x:c>
      <x:c r="I6" s="138" t="n">
        <x:v>8</x:v>
      </x:c>
      <x:c r="J6" s="138" t="n">
        <x:v>9</x:v>
      </x:c>
      <x:c r="K6" s="138" t="n">
        <x:v>7</x:v>
      </x:c>
      <x:c r="L6" s="138" t="n">
        <x:v>4</x:v>
      </x:c>
      <x:c r="M6" s="141" t="n">
        <x:f>F6*$B$11+G6*$B$12+H6*$B$13+I6*$B$14+J6*$B$15-K6*$B$16-L6*$B$17</x:f>
        <x:v>6.800000000000001</x:v>
      </x:c>
      <x:c r="N6" s="59" t="str">
        <x:v>选一个有明确输入输出的真实任务</x:v>
      </x:c>
    </x:row>
    <x:row r="7">
      <x:c r="A7" s="60" t="str">
        <x:v>开源项目审计</x:v>
      </x:c>
      <x:c r="B7" s="61" t="str">
        <x:v>一个开源 AI 项目值不值得装：六项审计</x:v>
      </x:c>
      <x:c r="C7" s="61" t="str">
        <x:v>安装前如何避免踩坑</x:v>
      </x:c>
      <x:c r="D7" s="61" t="str">
        <x:v>许可证 + 安全 + 维护 + 本地试用</x:v>
      </x:c>
      <x:c r="E7" s="61" t="str">
        <x:v>审计清单 + 固定版本记录</x:v>
      </x:c>
      <x:c r="F7" s="139" t="n">
        <x:v>8</x:v>
      </x:c>
      <x:c r="G7" s="139" t="n">
        <x:v>9</x:v>
      </x:c>
      <x:c r="H7" s="139" t="n">
        <x:v>10</x:v>
      </x:c>
      <x:c r="I7" s="139" t="n">
        <x:v>10</x:v>
      </x:c>
      <x:c r="J7" s="139" t="n">
        <x:v>9</x:v>
      </x:c>
      <x:c r="K7" s="139" t="n">
        <x:v>8</x:v>
      </x:c>
      <x:c r="L7" s="139" t="n">
        <x:v>5</x:v>
      </x:c>
      <x:c r="M7" s="142" t="n">
        <x:f>F7*$B$11+G7*$B$12+H7*$B$13+I7*$B$14+J7*$B$15-K7*$B$16-L7*$B$17</x:f>
        <x:v>6.8500000000000005</x:v>
      </x:c>
      <x:c r="N7" s="62" t="str">
        <x:v>选择近期有热度但结论未明的项目</x:v>
      </x:c>
    </x:row>
    <x:row r="10" ht="28" customHeight="1">
      <x:c r="A10" s="132" t="str">
        <x:v>评分参数</x:v>
      </x:c>
      <x:c r="B10" s="133" t="str">
        <x:v>权重</x:v>
      </x:c>
    </x:row>
    <x:row r="11">
      <x:c r="A11" s="54" t="str">
        <x:v>结果即时性</x:v>
      </x:c>
      <x:c r="B11" s="134" t="n">
        <x:v>0.15</x:v>
      </x:c>
    </x:row>
    <x:row r="12">
      <x:c r="A12" s="57" t="str">
        <x:v>受众匹配</x:v>
      </x:c>
      <x:c r="B12" s="135" t="n">
        <x:v>0.2</x:v>
      </x:c>
    </x:row>
    <x:row r="13">
      <x:c r="A13" s="57" t="str">
        <x:v>收藏价值</x:v>
      </x:c>
      <x:c r="B13" s="135" t="n">
        <x:v>0.2</x:v>
      </x:c>
    </x:row>
    <x:row r="14">
      <x:c r="A14" s="57" t="str">
        <x:v>证据强度</x:v>
      </x:c>
      <x:c r="B14" s="135" t="n">
        <x:v>0.2</x:v>
      </x:c>
    </x:row>
    <x:row r="15">
      <x:c r="A15" s="57" t="str">
        <x:v>评论潜力</x:v>
      </x:c>
      <x:c r="B15" s="135" t="n">
        <x:v>0.1</x:v>
      </x:c>
    </x:row>
    <x:row r="16">
      <x:c r="A16" s="57" t="str">
        <x:v>制作负担</x:v>
      </x:c>
      <x:c r="B16" s="135" t="n">
        <x:v>0.1</x:v>
      </x:c>
    </x:row>
    <x:row r="17">
      <x:c r="A17" s="60" t="str">
        <x:v>风险</x:v>
      </x:c>
      <x:c r="B17" s="136" t="n">
        <x:v>0.05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20" hidden="0" customWidth="1"/>
    <x:col min="5" max="5" width="38" hidden="0" customWidth="1"/>
    <x:col min="6" max="6" width="38" hidden="0" customWidth="1"/>
    <x:col min="7" max="7" width="10" hidden="0" customWidth="1"/>
    <x:col min="8" max="8" width="14" hidden="0" customWidth="1"/>
    <x:col min="9" max="9" width="34" hidden="0" customWidth="1"/>
  </x:cols>
  <x:sheetData>
    <x:row r="1" ht="34" customHeight="1">
      <x:c r="A1" s="3" t="str">
        <x:v>资源交付 | 视频讲核心，群内给文件与更新</x:v>
      </x:c>
      <x:c r="B1" s="3" t="str">
        <x:v>资源交付 | 视频讲核心，群内给文件与更新</x:v>
      </x:c>
      <x:c r="C1" s="3" t="str">
        <x:v>资源交付 | 视频讲核心，群内给文件与更新</x:v>
      </x:c>
      <x:c r="D1" s="3" t="str">
        <x:v>资源交付 | 视频讲核心，群内给文件与更新</x:v>
      </x:c>
      <x:c r="E1" s="3" t="str">
        <x:v>资源交付 | 视频讲核心，群内给文件与更新</x:v>
      </x:c>
      <x:c r="F1" s="3" t="str">
        <x:v>资源交付 | 视频讲核心，群内给文件与更新</x:v>
      </x:c>
      <x:c r="G1" s="3" t="str">
        <x:v>资源交付 | 视频讲核心，群内给文件与更新</x:v>
      </x:c>
      <x:c r="H1" s="3" t="str">
        <x:v>资源交付 | 视频讲核心，群内给文件与更新</x:v>
      </x:c>
      <x:c r="I1" s="3" t="str">
        <x:v>资源交付 | 视频讲核心，群内给文件与更新</x:v>
      </x:c>
    </x:row>
    <x:row r="2">
      <x:c r="A2" s="125" t="str">
        <x:v>不能用“进群领取”替代视频价值：视频必须讲清适用场景、最小步骤、完成信号和边界；抖音群/微信群承接可下载文件、版本更新和答疑。</x:v>
      </x:c>
      <x:c r="B2" s="125"/>
      <x:c r="C2" s="125"/>
      <x:c r="D2" s="125"/>
      <x:c r="E2" s="125"/>
      <x:c r="F2" s="125"/>
      <x:c r="G2" s="125"/>
      <x:c r="H2" s="125"/>
      <x:c r="I2" s="125"/>
    </x:row>
    <x:row r="4" ht="28" customHeight="1">
      <x:c r="A4" s="71" t="str">
        <x:v>资源ID</x:v>
      </x:c>
      <x:c r="B4" s="72" t="str">
        <x:v>关联实验</x:v>
      </x:c>
      <x:c r="C4" s="72" t="str">
        <x:v>资源名称</x:v>
      </x:c>
      <x:c r="D4" s="72" t="str">
        <x:v>类型</x:v>
      </x:c>
      <x:c r="E4" s="72" t="str">
        <x:v>视频内必须公开</x:v>
      </x:c>
      <x:c r="F4" s="72" t="str">
        <x:v>群内交付</x:v>
      </x:c>
      <x:c r="G4" s="72" t="str">
        <x:v>版本</x:v>
      </x:c>
      <x:c r="H4" s="72" t="str">
        <x:v>状态</x:v>
      </x:c>
      <x:c r="I4" s="73" t="str">
        <x:v>隐私/合规检查</x:v>
      </x:c>
    </x:row>
    <x:row r="5">
      <x:c r="A5" s="54" t="str">
        <x:v>asset-skill-001</x:v>
      </x:c>
      <x:c r="B5" s="55" t="str">
        <x:v>exp-skill-001</x:v>
      </x:c>
      <x:c r="C5" s="55" t="str">
        <x:v>Skill 安装与验收包</x:v>
      </x:c>
      <x:c r="D5" s="55" t="str">
        <x:v>提示词 + 清单</x:v>
      </x:c>
      <x:c r="E5" s="55" t="str">
        <x:v>适用条件、安装步骤、验收信号、失败边界</x:v>
      </x:c>
      <x:c r="F5" s="55" t="str">
        <x:v>可复制提示词、检查表、更新记录</x:v>
      </x:c>
      <x:c r="G5" s="55" t="str">
        <x:v>v0.1</x:v>
      </x:c>
      <x:c r="H5" s="55" t="str">
        <x:v>待准备</x:v>
      </x:c>
      <x:c r="I5" s="56" t="str">
        <x:v>不含账号、令牌、Cookie 或私聊数据</x:v>
      </x:c>
    </x:row>
    <x:row r="6">
      <x:c r="A6" s="57" t="str">
        <x:v>asset-agent-001</x:v>
      </x:c>
      <x:c r="B6" s="58" t="str">
        <x:v>exp-agent-001</x:v>
      </x:c>
      <x:c r="C6" s="58" t="str">
        <x:v>Agent 工作流门禁包</x:v>
      </x:c>
      <x:c r="D6" s="58" t="str">
        <x:v>流程图 + 模板</x:v>
      </x:c>
      <x:c r="E6" s="58" t="str">
        <x:v>任务拆分、人工确认点、回退条件</x:v>
      </x:c>
      <x:c r="F6" s="58" t="str">
        <x:v>流程图源文件、提示词模板、门禁清单</x:v>
      </x:c>
      <x:c r="G6" s="58" t="str">
        <x:v>v0.1</x:v>
      </x:c>
      <x:c r="H6" s="58" t="str">
        <x:v>待准备</x:v>
      </x:c>
      <x:c r="I6" s="59" t="str">
        <x:v>示例数据脱敏</x:v>
      </x:c>
    </x:row>
    <x:row r="7">
      <x:c r="A7" s="60" t="str">
        <x:v>asset-oss-001</x:v>
      </x:c>
      <x:c r="B7" s="61" t="str">
        <x:v>exp-oss-001</x:v>
      </x:c>
      <x:c r="C7" s="61" t="str">
        <x:v>开源项目六项审计包</x:v>
      </x:c>
      <x:c r="D7" s="61" t="str">
        <x:v>清单 + 记录表</x:v>
      </x:c>
      <x:c r="E7" s="61" t="str">
        <x:v>审计维度、结论、版本与风险</x:v>
      </x:c>
      <x:c r="F7" s="61" t="str">
        <x:v>可编辑清单、固定版本记录、更新说明</x:v>
      </x:c>
      <x:c r="G7" s="61" t="str">
        <x:v>v0.1</x:v>
      </x:c>
      <x:c r="H7" s="61" t="str">
        <x:v>待准备</x:v>
      </x:c>
      <x:c r="I7" s="62" t="str">
        <x:v>许可证与来源链接可追溯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34" hidden="0" customWidth="1"/>
    <x:col min="4" max="4" width="34" hidden="0" customWidth="1"/>
    <x:col min="5" max="5" width="38" hidden="0" customWidth="1"/>
  </x:cols>
  <x:sheetData>
    <x:row r="1" ht="34" customHeight="1">
      <x:c r="A1" s="3" t="str">
        <x:v>内容评分规则 | 开发者价值优先</x:v>
      </x:c>
      <x:c r="B1" s="3" t="str">
        <x:v>内容评分规则 | 开发者价值优先</x:v>
      </x:c>
      <x:c r="C1" s="3" t="str">
        <x:v>内容评分规则 | 开发者价值优先</x:v>
      </x:c>
      <x:c r="D1" s="3" t="str">
        <x:v>内容评分规则 | 开发者价值优先</x:v>
      </x:c>
      <x:c r="E1" s="3" t="str">
        <x:v>内容评分规则 | 开发者价值优先</x:v>
      </x:c>
    </x:row>
    <x:row r="3" ht="28" customHeight="1">
      <x:c r="A3" s="33" t="str">
        <x:v>指标</x:v>
      </x:c>
      <x:c r="B3" s="34" t="str">
        <x:v>权重</x:v>
      </x:c>
      <x:c r="C3" s="34" t="str">
        <x:v>高分含义</x:v>
      </x:c>
      <x:c r="D3" s="34" t="str">
        <x:v>低分风险</x:v>
      </x:c>
      <x:c r="E3" s="35" t="str">
        <x:v>使用说明</x:v>
      </x:c>
    </x:row>
    <x:row r="4">
      <x:c r="A4" s="54" t="str">
        <x:v>结果即时性</x:v>
      </x:c>
      <x:c r="B4" s="143" t="n">
        <x:v>0.15</x:v>
      </x:c>
      <x:c r="C4" s="55" t="str">
        <x:v>前5秒能看到结果/失败/产物</x:v>
      </x:c>
      <x:c r="D4" s="55" t="str">
        <x:v>需要先听背景才知道价值</x:v>
      </x:c>
      <x:c r="E4" s="56" t="str">
        <x:v>钩子与画面</x:v>
      </x:c>
    </x:row>
    <x:row r="5">
      <x:c r="A5" s="57" t="str">
        <x:v>受众匹配</x:v>
      </x:c>
      <x:c r="B5" s="144" t="n">
        <x:v>0.2</x:v>
      </x:c>
      <x:c r="C5" s="58" t="str">
        <x:v>直接服务 Codex/Agent/Skill 开发者</x:v>
      </x:c>
      <x:c r="D5" s="58" t="str">
        <x:v>泛AI感想或个人汇报</x:v>
      </x:c>
      <x:c r="E5" s="59" t="str">
        <x:v>选题门槛</x:v>
      </x:c>
    </x:row>
    <x:row r="6">
      <x:c r="A6" s="57" t="str">
        <x:v>收藏价值</x:v>
      </x:c>
      <x:c r="B6" s="144" t="n">
        <x:v>0.2</x:v>
      </x:c>
      <x:c r="C6" s="58" t="str">
        <x:v>有可命名、可复用资产</x:v>
      </x:c>
      <x:c r="D6" s="58" t="str">
        <x:v>只有观点，没有拿走的东西</x:v>
      </x:c>
      <x:c r="E6" s="59" t="str">
        <x:v>资源交付</x:v>
      </x:c>
    </x:row>
    <x:row r="7">
      <x:c r="A7" s="57" t="str">
        <x:v>证据强度</x:v>
      </x:c>
      <x:c r="B7" s="144" t="n">
        <x:v>0.2</x:v>
      </x:c>
      <x:c r="C7" s="58" t="str">
        <x:v>真实版本、日志、结果、边界齐全</x:v>
      </x:c>
      <x:c r="D7" s="58" t="str">
        <x:v>只引用宣传或README</x:v>
      </x:c>
      <x:c r="E7" s="59" t="str">
        <x:v>事实门禁</x:v>
      </x:c>
    </x:row>
    <x:row r="8">
      <x:c r="A8" s="57" t="str">
        <x:v>评论潜力</x:v>
      </x:c>
      <x:c r="B8" s="144" t="n">
        <x:v>0.1</x:v>
      </x:c>
      <x:c r="C8" s="58" t="str">
        <x:v>存在真实分支、取舍或待验证问题</x:v>
      </x:c>
      <x:c r="D8" s="58" t="str">
        <x:v>只求点赞关注</x:v>
      </x:c>
      <x:c r="E8" s="59" t="str">
        <x:v>互动设计</x:v>
      </x:c>
    </x:row>
    <x:row r="9">
      <x:c r="A9" s="57" t="str">
        <x:v>制作负担</x:v>
      </x:c>
      <x:c r="B9" s="144" t="n">
        <x:v>0.1</x:v>
      </x:c>
      <x:c r="C9" s="58" t="str">
        <x:v>数值越高，成本越高</x:v>
      </x:c>
      <x:c r="D9" s="58" t="str">
        <x:v>成本低</x:v>
      </x:c>
      <x:c r="E9" s="59" t="str">
        <x:v>负向扣分</x:v>
      </x:c>
    </x:row>
    <x:row r="10">
      <x:c r="A10" s="60" t="str">
        <x:v>风险</x:v>
      </x:c>
      <x:c r="B10" s="145" t="n">
        <x:v>0.05</x:v>
      </x:c>
      <x:c r="C10" s="61" t="str">
        <x:v>数值越高，隐私/安全/误导风险越高</x:v>
      </x:c>
      <x:c r="D10" s="61" t="str">
        <x:v>风险低且可公开</x:v>
      </x:c>
      <x:c r="E10" s="62" t="str">
        <x:v>负向扣分</x:v>
      </x:c>
    </x:row>
    <x:row r="12">
      <x:c r="A12" s="148" t="str">
        <x:v>硬门禁：没有真实运行证据，或没有至少一种提示词、流程图、清单、模板等可复用资产，不进入写稿。</x:v>
      </x:c>
      <x:c r="B12" s="148"/>
      <x:c r="C12" s="148"/>
      <x:c r="D12" s="148"/>
      <x:c r="E12" s="148"/>
    </x:row>
    <x:row r="14" ht="28" customHeight="1">
      <x:c r="A14" s="71" t="str">
        <x:v>结构</x:v>
      </x:c>
      <x:c r="B14" s="72" t="str">
        <x:v>建议时长</x:v>
      </x:c>
      <x:c r="C14" s="72" t="str">
        <x:v>适用场景</x:v>
      </x:c>
      <x:c r="D14" s="72" t="str">
        <x:v>开头要求</x:v>
      </x:c>
      <x:c r="E14" s="73" t="str">
        <x:v>完成标准</x:v>
      </x:c>
    </x:row>
    <x:row r="15">
      <x:c r="A15" s="54" t="str">
        <x:v>quick-proof</x:v>
      </x:c>
      <x:c r="B15" s="55" t="str">
        <x:v>25–45秒</x:v>
      </x:c>
      <x:c r="C15" s="55" t="str">
        <x:v>单一结果或技巧</x:v>
      </x:c>
      <x:c r="D15" s="55" t="str">
        <x:v>0–3秒展示结果</x:v>
      </x:c>
      <x:c r="E15" s="56" t="str">
        <x:v>观众能复现最小步骤</x:v>
      </x:c>
    </x:row>
    <x:row r="16">
      <x:c r="A16" s="57" t="str">
        <x:v>evidence-story</x:v>
      </x:c>
      <x:c r="B16" s="58" t="str">
        <x:v>45–90秒</x:v>
      </x:c>
      <x:c r="C16" s="58" t="str">
        <x:v>失败到修复</x:v>
      </x:c>
      <x:c r="D16" s="58" t="str">
        <x:v>0–5秒展示失败/差异</x:v>
      </x:c>
      <x:c r="E16" s="59" t="str">
        <x:v>讲清原因、动作、结果和边界</x:v>
      </x:c>
    </x:row>
    <x:row r="17">
      <x:c r="A17" s="57" t="str">
        <x:v>saveable-map</x:v>
      </x:c>
      <x:c r="B17" s="58" t="str">
        <x:v>45–110秒</x:v>
      </x:c>
      <x:c r="C17" s="58" t="str">
        <x:v>工作流或清单</x:v>
      </x:c>
      <x:c r="D17" s="58" t="str">
        <x:v>0–5秒展示全图/产物</x:v>
      </x:c>
      <x:c r="E17" s="59" t="str">
        <x:v>观众知道如何套用</x:v>
      </x:c>
    </x:row>
    <x:row r="18">
      <x:c r="A18" s="60" t="str">
        <x:v>deep-audit</x:v>
      </x:c>
      <x:c r="B18" s="61" t="str">
        <x:v>60–150秒</x:v>
      </x:c>
      <x:c r="C18" s="61" t="str">
        <x:v>开源项目或复杂边界</x:v>
      </x:c>
      <x:c r="D18" s="61" t="str">
        <x:v>先给结论和关键风险</x:v>
      </x:c>
      <x:c r="E18" s="62" t="str">
        <x:v>证据链和退出成本完整</x:v>
      </x:c>
    </x:row>
  </x:sheetData>
  <x:mergeCells>
    <x:mergeCell ref="A1:E1"/>
    <x:mergeCell ref="A12:E1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6" hidden="0" customWidth="1"/>
    <x:col min="3" max="3" width="38" hidden="0" customWidth="1"/>
    <x:col min="4" max="4" width="42" hidden="0" customWidth="1"/>
    <x:col min="5" max="5" width="30" hidden="0" customWidth="1"/>
  </x:cols>
  <x:sheetData>
    <x:row r="1" ht="34" customHeight="1">
      <x:c r="A1" s="3" t="str">
        <x:v>创作者档案 | Windows 本地实测型 AI Builder</x:v>
      </x:c>
      <x:c r="B1" s="3" t="str">
        <x:v>创作者档案 | Windows 本地实测型 AI Builder</x:v>
      </x:c>
      <x:c r="C1" s="3" t="str">
        <x:v>创作者档案 | Windows 本地实测型 AI Builder</x:v>
      </x:c>
      <x:c r="D1" s="3" t="str">
        <x:v>创作者档案 | Windows 本地实测型 AI Builder</x:v>
      </x:c>
      <x:c r="E1" s="3" t="str">
        <x:v>创作者档案 | Windows 本地实测型 AI Builder</x:v>
      </x:c>
    </x:row>
    <x:row r="3" ht="28" customHeight="1">
      <x:c r="A3" s="33" t="str">
        <x:v>模块</x:v>
      </x:c>
      <x:c r="B3" s="34" t="str">
        <x:v>当前确认</x:v>
      </x:c>
      <x:c r="C3" s="34" t="str">
        <x:v>证据要求</x:v>
      </x:c>
      <x:c r="D3" s="34" t="str">
        <x:v>公开边界</x:v>
      </x:c>
      <x:c r="E3" s="35" t="str">
        <x:v>待验证</x:v>
      </x:c>
    </x:row>
    <x:row r="4" ht="58" customHeight="1">
      <x:c r="A4" s="54" t="str">
        <x:v>一句话定位</x:v>
      </x:c>
      <x:c r="B4" s="55" t="str">
        <x:v>真实跑通 Codex、Agent、Skill 和开源组件，交付提示词、流程图、清单和模板</x:v>
      </x:c>
      <x:c r="C4" s="55" t="str">
        <x:v>每条内容至少一个本地运行结果</x:v>
      </x:c>
      <x:c r="D4" s="55" t="str">
        <x:v>不虚构成功、失败、耗时或用户反馈</x:v>
      </x:c>
      <x:c r="E4" s="56" t="str">
        <x:v>最强的系列名称</x:v>
      </x:c>
    </x:row>
    <x:row r="5" ht="58" customHeight="1">
      <x:c r="A5" s="57" t="str">
        <x:v>核心受众</x:v>
      </x:c>
      <x:c r="B5" s="58" t="str">
        <x:v>Codex、Agent、Skill 方向的开发者与进阶用户</x:v>
      </x:c>
      <x:c r="C5" s="58" t="str">
        <x:v>选题能对应安装、调用、调试、审计或工作流问题</x:v>
      </x:c>
      <x:c r="D5" s="58" t="str">
        <x:v>不为了扩大受众改成泛AI入门</x:v>
      </x:c>
      <x:c r="E5" s="59" t="str">
        <x:v>受众更偏开发还是产品</x:v>
      </x:c>
    </x:row>
    <x:row r="6" ht="58" customHeight="1">
      <x:c r="A6" s="57" t="str">
        <x:v>内容池</x:v>
      </x:c>
      <x:c r="B6" s="58" t="str">
        <x:v>Skill真实跑通 / Agent工作流拆解 / 开源项目审计</x:v>
      </x:c>
      <x:c r="C6" s="58" t="str">
        <x:v>开放选题，证据成熟才生产</x:v>
      </x:c>
      <x:c r="D6" s="58" t="str">
        <x:v>不设30天、Day编号、日更或每日目标</x:v>
      </x:c>
      <x:c r="E6" s="59" t="str">
        <x:v>三类内容的真实留存差异</x:v>
      </x:c>
    </x:row>
    <x:row r="7" ht="58" customHeight="1">
      <x:c r="A7" s="57" t="str">
        <x:v>内容承诺</x:v>
      </x:c>
      <x:c r="B7" s="58" t="str">
        <x:v>先展示结果，再讲适用场景、最小步骤、验收信号和边界</x:v>
      </x:c>
      <x:c r="C7" s="58" t="str">
        <x:v>视频可独立获得核心方法</x:v>
      </x:c>
      <x:c r="D7" s="58" t="str">
        <x:v>不能把核心价值全部藏在群里</x:v>
      </x:c>
      <x:c r="E7" s="59" t="str">
        <x:v>哪类资产收藏率最高</x:v>
      </x:c>
    </x:row>
    <x:row r="8" ht="58" customHeight="1">
      <x:c r="A8" s="57" t="str">
        <x:v>资源承接</x:v>
      </x:c>
      <x:c r="B8" s="58" t="str">
        <x:v>抖音群/微信群提供可下载文件、版本更新和答疑</x:v>
      </x:c>
      <x:c r="C8" s="58" t="str">
        <x:v>资源名称、版本和状态可追溯</x:v>
      </x:c>
      <x:c r="D8" s="58" t="str">
        <x:v>不在台账记录群链接、联系方式或私聊原文</x:v>
      </x:c>
      <x:c r="E8" s="59" t="str">
        <x:v>群转化与内容质量关系</x:v>
      </x:c>
    </x:row>
    <x:row r="9" ht="58" customHeight="1">
      <x:c r="A9" s="57" t="str">
        <x:v>判断基线</x:v>
      </x:c>
      <x:c r="B9" s="58" t="str">
        <x:v>现有分发未失效，主要瓶颈是2秒跳出、5秒留存和平均观看</x:v>
      </x:c>
      <x:c r="C9" s="58" t="str">
        <x:v>成熟作品数据分开比较</x:v>
      </x:c>
      <x:c r="D9" s="58" t="str">
        <x:v>新发作品未成熟时不提前下结论</x:v>
      </x:c>
      <x:c r="E9" s="59" t="str">
        <x:v>新定位连续样本表现</x:v>
      </x:c>
    </x:row>
    <x:row r="10" ht="58" customHeight="1">
      <x:c r="A10" s="60" t="str">
        <x:v>安全边界</x:v>
      </x:c>
      <x:c r="B10" s="61" t="str">
        <x:v>本地实测、脱敏截图、固定版本、明确许可证和退出成本</x:v>
      </x:c>
      <x:c r="C10" s="61" t="str">
        <x:v>敏感信息扫描与人工复核</x:v>
      </x:c>
      <x:c r="D10" s="61" t="str">
        <x:v>禁止密码、令牌、Cookie、客户数据和私聊内容</x:v>
      </x:c>
      <x:c r="E10" s="62" t="str">
        <x:v>公开仓库与路径边界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>
      <x:c r="A1" s="149" t="str">
        <x:v>历史证据快照 | 内容台账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旧定位内容台账基线｜保留样本</x:v>
      </x:c>
      <x:c r="B4" s="166" t="str">
        <x:v>30天内容台账</x:v>
      </x:c>
      <x:c r="C4" s="166" t="str">
        <x:v>30天内容台账</x:v>
      </x:c>
      <x:c r="D4" s="166" t="str">
        <x:v>30天内容台账</x:v>
      </x:c>
      <x:c r="E4" s="166" t="str">
        <x:v>30天内容台账</x:v>
      </x:c>
      <x:c r="F4" s="166" t="str">
        <x:v>30天内容台账</x:v>
      </x:c>
      <x:c r="G4" s="166" t="str">
        <x:v>30天内容台账</x:v>
      </x:c>
      <x:c r="H4" s="166" t="str">
        <x:v>30天内容台账</x:v>
      </x:c>
      <x:c r="I4" s="166" t="str">
        <x:v>30天内容台账</x:v>
      </x:c>
      <x:c r="J4" s="166" t="str">
        <x:v>30天内容台账</x:v>
      </x:c>
      <x:c r="K4" s="166" t="str">
        <x:v>30天内容台账</x:v>
      </x:c>
      <x:c r="L4" s="166" t="str">
        <x:v>30天内容台账</x:v>
      </x:c>
      <x:c r="M4" s="166" t="str">
        <x:v>30天内容台账</x:v>
      </x:c>
      <x:c r="N4" s="166" t="str">
        <x:v>30天内容台账</x:v>
      </x:c>
      <x:c r="O4" s="166" t="str">
        <x:v>30天内容台账</x:v>
      </x:c>
      <x:c r="P4" s="166" t="str">
        <x:v>30天内容台账</x:v>
      </x:c>
      <x:c r="Q4" s="166" t="str">
        <x:v>30天内容台账</x:v>
      </x:c>
      <x:c r="R4" s="166" t="str">
        <x:v>30天内容台账</x:v>
      </x:c>
      <x:c r="S4" s="166" t="str">
        <x:v>30天内容台账</x:v>
      </x:c>
      <x:c r="T4" s="167" t="str">
        <x:v>30天内容台账</x:v>
      </x:c>
    </x:row>
    <x:row r="5" ht="24" customHeight="1">
      <x:c r="A5" s="156" t="str">
        <x:v>本表保留2026-07-15综合热点口播Day 1数据，用于与AI实践成长新定位对比；不得删除或当作新定位日更。</x:v>
      </x:c>
      <x:c r="B5" s="157"/>
      <x:c r="C5" s="157"/>
      <x:c r="D5" s="157"/>
      <x:c r="E5" s="157"/>
      <x:c r="F5" s="157"/>
      <x:c r="G5" s="157"/>
      <x:c r="H5" s="157"/>
      <x:c r="I5" s="157"/>
      <x:c r="J5" s="157"/>
      <x:c r="K5" s="157"/>
      <x:c r="L5" s="157"/>
      <x:c r="M5" s="157"/>
      <x:c r="N5" s="157"/>
      <x:c r="O5" s="157"/>
      <x:c r="P5" s="157"/>
      <x:c r="Q5" s="157"/>
      <x:c r="R5" s="157"/>
      <x:c r="S5" s="157"/>
      <x:c r="T5" s="158"/>
    </x:row>
    <x:row r="6" ht="24" customHeight="1">
      <x:c r="A6" s="156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7"/>
      <x:c r="O6" s="157"/>
      <x:c r="P6" s="157"/>
      <x:c r="Q6" s="157"/>
      <x:c r="R6" s="157"/>
      <x:c r="S6" s="157"/>
      <x:c r="T6" s="158"/>
    </x:row>
    <x:row r="7" ht="24" customHeight="1">
      <x:c r="A7" s="156" t="str">
        <x:v>发布日期</x:v>
      </x:c>
      <x:c r="B7" s="157" t="str">
        <x:v>选题</x:v>
      </x:c>
      <x:c r="C7" s="157" t="str">
        <x:v>热点类型</x:v>
      </x:c>
      <x:c r="D7" s="157" t="str">
        <x:v>来源平台</x:v>
      </x:c>
      <x:c r="E7" s="157" t="str">
        <x:v>标题</x:v>
      </x:c>
      <x:c r="F7" s="157" t="str">
        <x:v>封面文案</x:v>
      </x:c>
      <x:c r="G7" s="157" t="str">
        <x:v>视频时长(秒)</x:v>
      </x:c>
      <x:c r="H7" s="157" t="str">
        <x:v>开头钩子</x:v>
      </x:c>
      <x:c r="I7" s="157" t="str">
        <x:v>内容结构</x:v>
      </x:c>
      <x:c r="J7" s="157" t="str">
        <x:v>播放量</x:v>
      </x:c>
      <x:c r="K7" s="157" t="str">
        <x:v>3秒留存</x:v>
      </x:c>
      <x:c r="L7" s="157" t="str">
        <x:v>平均观看时长(秒)</x:v>
      </x:c>
      <x:c r="M7" s="157" t="str">
        <x:v>完播率</x:v>
      </x:c>
      <x:c r="N7" s="157" t="str">
        <x:v>点赞</x:v>
      </x:c>
      <x:c r="O7" s="157" t="str">
        <x:v>评论</x:v>
      </x:c>
      <x:c r="P7" s="157" t="str">
        <x:v>收藏</x:v>
      </x:c>
      <x:c r="Q7" s="157" t="str">
        <x:v>转发</x:v>
      </x:c>
      <x:c r="R7" s="157" t="str">
        <x:v>涨粉</x:v>
      </x:c>
      <x:c r="S7" s="157" t="str">
        <x:v>状态</x:v>
      </x:c>
      <x:c r="T7" s="158" t="str">
        <x:v>备注</x:v>
      </x:c>
    </x:row>
    <x:row r="8" ht="24" customHeight="1">
      <x:c r="A8" s="156" t="n">
        <x:v>46218</x:v>
      </x:c>
      <x:c r="B8" s="157" t="str">
        <x:v>新能源车“平均车龄1.8年”误读</x:v>
      </x:c>
      <x:c r="C8" s="157" t="str">
        <x:v>消费/科技/数据素养</x:v>
      </x:c>
      <x:c r="D8" s="157" t="str">
        <x:v>抖音/小红书/媒体</x:v>
      </x:c>
      <x:c r="E8" s="157" t="str">
        <x:v>平均车龄不是汽车寿命，这次很多人看反了</x:v>
      </x:c>
      <x:c r="F8" s="157" t="str">
        <x:v>1.8年≠车寿命</x:v>
      </x:c>
      <x:c r="G8" s="157" t="n">
        <x:v>75</x:v>
      </x:c>
      <x:c r="H8" s="157" t="str">
        <x:v>一辆新能源车，平均只开1.8年？不是。</x:v>
      </x:c>
      <x:c r="I8" s="157" t="str">
        <x:v>冲突钩子→背景→概念澄清→生活比喻→克制判断→互动问题</x:v>
      </x:c>
      <x:c r="J8" s="157"/>
      <x:c r="K8" s="157"/>
      <x:c r="L8" s="157"/>
      <x:c r="M8" s="157"/>
      <x:c r="N8" s="157"/>
      <x:c r="O8" s="157"/>
      <x:c r="P8" s="157"/>
      <x:c r="Q8" s="157"/>
      <x:c r="R8" s="157"/>
      <x:c r="S8" s="157" t="str">
        <x:v>旧定位基线</x:v>
      </x:c>
      <x:c r="T8" s="158" t="str">
        <x:v>原综合热点主选题待审核；现作为旧定位基线样本保留。</x:v>
      </x:c>
    </x:row>
    <x:row r="9" ht="24" customHeight="1">
      <x:c r="A9" s="156"/>
      <x:c r="B9" s="157"/>
      <x:c r="C9" s="157"/>
      <x:c r="D9" s="157"/>
      <x:c r="E9" s="157"/>
      <x:c r="F9" s="157"/>
      <x:c r="G9" s="157"/>
      <x:c r="H9" s="157"/>
      <x:c r="I9" s="157"/>
      <x:c r="J9" s="157"/>
      <x:c r="K9" s="157"/>
      <x:c r="L9" s="157"/>
      <x:c r="M9" s="157"/>
      <x:c r="N9" s="157"/>
      <x:c r="O9" s="157"/>
      <x:c r="P9" s="157"/>
      <x:c r="Q9" s="157"/>
      <x:c r="R9" s="157"/>
      <x:c r="S9" s="157"/>
      <x:c r="T9" s="158"/>
    </x:row>
    <x:row r="10" ht="24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7"/>
      <x:c r="P10" s="157"/>
      <x:c r="Q10" s="157"/>
      <x:c r="R10" s="157"/>
      <x:c r="S10" s="157"/>
      <x:c r="T10" s="158"/>
    </x:row>
    <x:row r="11" ht="24" customHeight="1">
      <x:c r="A11" s="156"/>
      <x:c r="B11" s="157"/>
      <x:c r="C11" s="157"/>
      <x:c r="D11" s="157"/>
      <x:c r="E11" s="157"/>
      <x:c r="F11" s="157"/>
      <x:c r="G11" s="157"/>
      <x:c r="H11" s="157"/>
      <x:c r="I11" s="157"/>
      <x:c r="J11" s="157"/>
      <x:c r="K11" s="157"/>
      <x:c r="L11" s="157"/>
      <x:c r="M11" s="157"/>
      <x:c r="N11" s="157"/>
      <x:c r="O11" s="157"/>
      <x:c r="P11" s="157"/>
      <x:c r="Q11" s="157"/>
      <x:c r="R11" s="157"/>
      <x:c r="S11" s="157"/>
      <x:c r="T11" s="158"/>
    </x:row>
    <x:row r="12" ht="24" customHeight="1">
      <x:c r="A12" s="156"/>
      <x:c r="B12" s="157"/>
      <x:c r="C12" s="157"/>
      <x:c r="D12" s="157"/>
      <x:c r="E12" s="157"/>
      <x:c r="F12" s="157"/>
      <x:c r="G12" s="157"/>
      <x:c r="H12" s="157"/>
      <x:c r="I12" s="157"/>
      <x:c r="J12" s="157"/>
      <x:c r="K12" s="157"/>
      <x:c r="L12" s="157"/>
      <x:c r="M12" s="157"/>
      <x:c r="N12" s="157"/>
      <x:c r="O12" s="157"/>
      <x:c r="P12" s="157"/>
      <x:c r="Q12" s="157"/>
      <x:c r="R12" s="157"/>
      <x:c r="S12" s="157"/>
      <x:c r="T12" s="158"/>
    </x:row>
    <x:row r="13" ht="24" customHeight="1">
      <x:c r="A13" s="156"/>
      <x:c r="B13" s="157"/>
      <x:c r="C13" s="157"/>
      <x:c r="D13" s="157"/>
      <x:c r="E13" s="157"/>
      <x:c r="F13" s="157"/>
      <x:c r="G13" s="157"/>
      <x:c r="H13" s="157"/>
      <x:c r="I13" s="157"/>
      <x:c r="J13" s="157"/>
      <x:c r="K13" s="157"/>
      <x:c r="L13" s="157"/>
      <x:c r="M13" s="157"/>
      <x:c r="N13" s="157"/>
      <x:c r="O13" s="157"/>
      <x:c r="P13" s="157"/>
      <x:c r="Q13" s="157"/>
      <x:c r="R13" s="157"/>
      <x:c r="S13" s="157"/>
      <x:c r="T13" s="158"/>
    </x:row>
    <x:row r="14" ht="24" customHeight="1">
      <x:c r="A14" s="156"/>
      <x:c r="B14" s="157"/>
      <x:c r="C14" s="157"/>
      <x:c r="D14" s="157"/>
      <x:c r="E14" s="157"/>
      <x:c r="F14" s="157"/>
      <x:c r="G14" s="157"/>
      <x:c r="H14" s="157"/>
      <x:c r="I14" s="157"/>
      <x:c r="J14" s="157"/>
      <x:c r="K14" s="157"/>
      <x:c r="L14" s="157"/>
      <x:c r="M14" s="157"/>
      <x:c r="N14" s="157"/>
      <x:c r="O14" s="157"/>
      <x:c r="P14" s="157"/>
      <x:c r="Q14" s="157"/>
      <x:c r="R14" s="157"/>
      <x:c r="S14" s="157"/>
      <x:c r="T14" s="158"/>
    </x:row>
    <x:row r="15" ht="24" customHeight="1">
      <x:c r="A15" s="156"/>
      <x:c r="B15" s="157"/>
      <x:c r="C15" s="157"/>
      <x:c r="D15" s="157"/>
      <x:c r="E15" s="157"/>
      <x:c r="F15" s="157"/>
      <x:c r="G15" s="157"/>
      <x:c r="H15" s="157"/>
      <x:c r="I15" s="157"/>
      <x:c r="J15" s="157"/>
      <x:c r="K15" s="157"/>
      <x:c r="L15" s="157"/>
      <x:c r="M15" s="157"/>
      <x:c r="N15" s="157"/>
      <x:c r="O15" s="157"/>
      <x:c r="P15" s="157"/>
      <x:c r="Q15" s="157"/>
      <x:c r="R15" s="157"/>
      <x:c r="S15" s="157"/>
      <x:c r="T15" s="158"/>
    </x:row>
    <x:row r="16" ht="24" customHeight="1">
      <x:c r="A16" s="156"/>
      <x:c r="B16" s="157"/>
      <x:c r="C16" s="157"/>
      <x:c r="D16" s="157"/>
      <x:c r="E16" s="157"/>
      <x:c r="F16" s="157"/>
      <x:c r="G16" s="157"/>
      <x:c r="H16" s="157"/>
      <x:c r="I16" s="157"/>
      <x:c r="J16" s="157"/>
      <x:c r="K16" s="157"/>
      <x:c r="L16" s="157"/>
      <x:c r="M16" s="157"/>
      <x:c r="N16" s="157"/>
      <x:c r="O16" s="157"/>
      <x:c r="P16" s="157"/>
      <x:c r="Q16" s="157"/>
      <x:c r="R16" s="157"/>
      <x:c r="S16" s="157"/>
      <x:c r="T16" s="158"/>
    </x:row>
    <x:row r="17" ht="24" customHeight="1">
      <x:c r="A17" s="156"/>
      <x:c r="B17" s="157"/>
      <x:c r="C17" s="157"/>
      <x:c r="D17" s="157"/>
      <x:c r="E17" s="157"/>
      <x:c r="F17" s="157"/>
      <x:c r="G17" s="157"/>
      <x:c r="H17" s="157"/>
      <x:c r="I17" s="157"/>
      <x:c r="J17" s="157"/>
      <x:c r="K17" s="157"/>
      <x:c r="L17" s="157"/>
      <x:c r="M17" s="157"/>
      <x:c r="N17" s="157"/>
      <x:c r="O17" s="157"/>
      <x:c r="P17" s="157"/>
      <x:c r="Q17" s="157"/>
      <x:c r="R17" s="157"/>
      <x:c r="S17" s="157"/>
      <x:c r="T17" s="158"/>
    </x:row>
    <x:row r="18" ht="24" customHeight="1">
      <x:c r="A18" s="156"/>
      <x:c r="B18" s="157"/>
      <x:c r="C18" s="157"/>
      <x:c r="D18" s="157"/>
      <x:c r="E18" s="157"/>
      <x:c r="F18" s="157"/>
      <x:c r="G18" s="157"/>
      <x:c r="H18" s="157"/>
      <x:c r="I18" s="157"/>
      <x:c r="J18" s="157"/>
      <x:c r="K18" s="157"/>
      <x:c r="L18" s="157"/>
      <x:c r="M18" s="157"/>
      <x:c r="N18" s="157"/>
      <x:c r="O18" s="157"/>
      <x:c r="P18" s="157"/>
      <x:c r="Q18" s="157"/>
      <x:c r="R18" s="157"/>
      <x:c r="S18" s="157"/>
      <x:c r="T18" s="158"/>
    </x:row>
    <x:row r="19" ht="24" customHeight="1">
      <x:c r="A19" s="156"/>
      <x:c r="B19" s="157"/>
      <x:c r="C19" s="157"/>
      <x:c r="D19" s="157"/>
      <x:c r="E19" s="157"/>
      <x:c r="F19" s="157"/>
      <x:c r="G19" s="157"/>
      <x:c r="H19" s="157"/>
      <x:c r="I19" s="157"/>
      <x:c r="J19" s="157"/>
      <x:c r="K19" s="157"/>
      <x:c r="L19" s="157"/>
      <x:c r="M19" s="157"/>
      <x:c r="N19" s="157"/>
      <x:c r="O19" s="157"/>
      <x:c r="P19" s="157"/>
      <x:c r="Q19" s="157"/>
      <x:c r="R19" s="157"/>
      <x:c r="S19" s="157"/>
      <x:c r="T19" s="158"/>
    </x:row>
    <x:row r="20" ht="24" customHeight="1">
      <x:c r="A20" s="156"/>
      <x:c r="B20" s="157"/>
      <x:c r="C20" s="157"/>
      <x:c r="D20" s="157"/>
      <x:c r="E20" s="157"/>
      <x:c r="F20" s="157"/>
      <x:c r="G20" s="157"/>
      <x:c r="H20" s="157"/>
      <x:c r="I20" s="157"/>
      <x:c r="J20" s="157"/>
      <x:c r="K20" s="157"/>
      <x:c r="L20" s="157"/>
      <x:c r="M20" s="157"/>
      <x:c r="N20" s="157"/>
      <x:c r="O20" s="157"/>
      <x:c r="P20" s="157"/>
      <x:c r="Q20" s="157"/>
      <x:c r="R20" s="157"/>
      <x:c r="S20" s="157"/>
      <x:c r="T20" s="158"/>
    </x:row>
    <x:row r="21" ht="24" customHeight="1">
      <x:c r="A21" s="156"/>
      <x:c r="B21" s="157"/>
      <x:c r="C21" s="157"/>
      <x:c r="D21" s="157"/>
      <x:c r="E21" s="157"/>
      <x:c r="F21" s="157"/>
      <x:c r="G21" s="157"/>
      <x:c r="H21" s="157"/>
      <x:c r="I21" s="157"/>
      <x:c r="J21" s="157"/>
      <x:c r="K21" s="157"/>
      <x:c r="L21" s="157"/>
      <x:c r="M21" s="157"/>
      <x:c r="N21" s="157"/>
      <x:c r="O21" s="157"/>
      <x:c r="P21" s="157"/>
      <x:c r="Q21" s="157"/>
      <x:c r="R21" s="157"/>
      <x:c r="S21" s="157"/>
      <x:c r="T21" s="158"/>
    </x:row>
    <x:row r="22" ht="24" customHeight="1">
      <x:c r="A22" s="156"/>
      <x:c r="B22" s="157"/>
      <x:c r="C22" s="157"/>
      <x:c r="D22" s="157"/>
      <x:c r="E22" s="157"/>
      <x:c r="F22" s="157"/>
      <x:c r="G22" s="157"/>
      <x:c r="H22" s="157"/>
      <x:c r="I22" s="157"/>
      <x:c r="J22" s="157"/>
      <x:c r="K22" s="157"/>
      <x:c r="L22" s="157"/>
      <x:c r="M22" s="157"/>
      <x:c r="N22" s="157"/>
      <x:c r="O22" s="157"/>
      <x:c r="P22" s="157"/>
      <x:c r="Q22" s="157"/>
      <x:c r="R22" s="157"/>
      <x:c r="S22" s="157"/>
      <x:c r="T22" s="158"/>
    </x:row>
    <x:row r="23" ht="24" customHeight="1">
      <x:c r="A23" s="156"/>
      <x:c r="B23" s="157"/>
      <x:c r="C23" s="157"/>
      <x:c r="D23" s="157"/>
      <x:c r="E23" s="157"/>
      <x:c r="F23" s="157"/>
      <x:c r="G23" s="157"/>
      <x:c r="H23" s="157"/>
      <x:c r="I23" s="157"/>
      <x:c r="J23" s="157"/>
      <x:c r="K23" s="157"/>
      <x:c r="L23" s="157"/>
      <x:c r="M23" s="157"/>
      <x:c r="N23" s="157"/>
      <x:c r="O23" s="157"/>
      <x:c r="P23" s="157"/>
      <x:c r="Q23" s="157"/>
      <x:c r="R23" s="157"/>
      <x:c r="S23" s="157"/>
      <x:c r="T23" s="158"/>
    </x:row>
    <x:row r="24" ht="24" customHeight="1">
      <x:c r="A24" s="156"/>
      <x:c r="B24" s="157"/>
      <x:c r="C24" s="157"/>
      <x:c r="D24" s="157"/>
      <x:c r="E24" s="157"/>
      <x:c r="F24" s="157"/>
      <x:c r="G24" s="157"/>
      <x:c r="H24" s="157"/>
      <x:c r="I24" s="157"/>
      <x:c r="J24" s="157"/>
      <x:c r="K24" s="157"/>
      <x:c r="L24" s="157"/>
      <x:c r="M24" s="157"/>
      <x:c r="N24" s="157"/>
      <x:c r="O24" s="157"/>
      <x:c r="P24" s="157"/>
      <x:c r="Q24" s="157"/>
      <x:c r="R24" s="157"/>
      <x:c r="S24" s="157"/>
      <x:c r="T24" s="158"/>
    </x:row>
    <x:row r="25" ht="24" customHeight="1">
      <x:c r="A25" s="156"/>
      <x:c r="B25" s="157"/>
      <x:c r="C25" s="157"/>
      <x:c r="D25" s="157"/>
      <x:c r="E25" s="157"/>
      <x:c r="F25" s="157"/>
      <x:c r="G25" s="157"/>
      <x:c r="H25" s="157"/>
      <x:c r="I25" s="157"/>
      <x:c r="J25" s="157"/>
      <x:c r="K25" s="157"/>
      <x:c r="L25" s="157"/>
      <x:c r="M25" s="157"/>
      <x:c r="N25" s="157"/>
      <x:c r="O25" s="157"/>
      <x:c r="P25" s="157"/>
      <x:c r="Q25" s="157"/>
      <x:c r="R25" s="157"/>
      <x:c r="S25" s="157"/>
      <x:c r="T25" s="158"/>
    </x:row>
    <x:row r="26" ht="24" customHeight="1">
      <x:c r="A26" s="156"/>
      <x:c r="B26" s="157"/>
      <x:c r="C26" s="157"/>
      <x:c r="D26" s="157"/>
      <x:c r="E26" s="157"/>
      <x:c r="F26" s="157"/>
      <x:c r="G26" s="157"/>
      <x:c r="H26" s="157"/>
      <x:c r="I26" s="157"/>
      <x:c r="J26" s="157"/>
      <x:c r="K26" s="157"/>
      <x:c r="L26" s="157"/>
      <x:c r="M26" s="157"/>
      <x:c r="N26" s="157"/>
      <x:c r="O26" s="157"/>
      <x:c r="P26" s="157"/>
      <x:c r="Q26" s="157"/>
      <x:c r="R26" s="157"/>
      <x:c r="S26" s="157"/>
      <x:c r="T26" s="158"/>
    </x:row>
    <x:row r="27" ht="24" customHeight="1">
      <x:c r="A27" s="156"/>
      <x:c r="B27" s="157"/>
      <x:c r="C27" s="157"/>
      <x:c r="D27" s="157"/>
      <x:c r="E27" s="157"/>
      <x:c r="F27" s="157"/>
      <x:c r="G27" s="157"/>
      <x:c r="H27" s="157"/>
      <x:c r="I27" s="157"/>
      <x:c r="J27" s="157"/>
      <x:c r="K27" s="157"/>
      <x:c r="L27" s="157"/>
      <x:c r="M27" s="157"/>
      <x:c r="N27" s="157"/>
      <x:c r="O27" s="157"/>
      <x:c r="P27" s="157"/>
      <x:c r="Q27" s="157"/>
      <x:c r="R27" s="157"/>
      <x:c r="S27" s="157"/>
      <x:c r="T27" s="158"/>
    </x:row>
    <x:row r="28" ht="24" customHeight="1">
      <x:c r="A28" s="156"/>
      <x:c r="B28" s="157"/>
      <x:c r="C28" s="157"/>
      <x:c r="D28" s="157"/>
      <x:c r="E28" s="157"/>
      <x:c r="F28" s="157"/>
      <x:c r="G28" s="157"/>
      <x:c r="H28" s="157"/>
      <x:c r="I28" s="157"/>
      <x:c r="J28" s="157"/>
      <x:c r="K28" s="157"/>
      <x:c r="L28" s="157"/>
      <x:c r="M28" s="157"/>
      <x:c r="N28" s="157"/>
      <x:c r="O28" s="157"/>
      <x:c r="P28" s="157"/>
      <x:c r="Q28" s="157"/>
      <x:c r="R28" s="157"/>
      <x:c r="S28" s="157"/>
      <x:c r="T28" s="158"/>
    </x:row>
    <x:row r="29" ht="24" customHeight="1">
      <x:c r="A29" s="156"/>
      <x:c r="B29" s="157"/>
      <x:c r="C29" s="157"/>
      <x:c r="D29" s="157"/>
      <x:c r="E29" s="157"/>
      <x:c r="F29" s="157"/>
      <x:c r="G29" s="157"/>
      <x:c r="H29" s="157"/>
      <x:c r="I29" s="157"/>
      <x:c r="J29" s="157"/>
      <x:c r="K29" s="157"/>
      <x:c r="L29" s="157"/>
      <x:c r="M29" s="157"/>
      <x:c r="N29" s="157"/>
      <x:c r="O29" s="157"/>
      <x:c r="P29" s="157"/>
      <x:c r="Q29" s="157"/>
      <x:c r="R29" s="157"/>
      <x:c r="S29" s="157"/>
      <x:c r="T29" s="158"/>
    </x:row>
    <x:row r="30" ht="24" customHeight="1">
      <x:c r="A30" s="156"/>
      <x:c r="B30" s="157"/>
      <x:c r="C30" s="157"/>
      <x:c r="D30" s="157"/>
      <x:c r="E30" s="157"/>
      <x:c r="F30" s="157"/>
      <x:c r="G30" s="157"/>
      <x:c r="H30" s="157"/>
      <x:c r="I30" s="157"/>
      <x:c r="J30" s="157"/>
      <x:c r="K30" s="157"/>
      <x:c r="L30" s="157"/>
      <x:c r="M30" s="157"/>
      <x:c r="N30" s="157"/>
      <x:c r="O30" s="157"/>
      <x:c r="P30" s="157"/>
      <x:c r="Q30" s="157"/>
      <x:c r="R30" s="157"/>
      <x:c r="S30" s="157"/>
      <x:c r="T30" s="158"/>
    </x:row>
    <x:row r="31" ht="24" customHeight="1">
      <x:c r="A31" s="156"/>
      <x:c r="B31" s="157"/>
      <x:c r="C31" s="157"/>
      <x:c r="D31" s="157"/>
      <x:c r="E31" s="157"/>
      <x:c r="F31" s="157"/>
      <x:c r="G31" s="157"/>
      <x:c r="H31" s="157"/>
      <x:c r="I31" s="157"/>
      <x:c r="J31" s="157"/>
      <x:c r="K31" s="157"/>
      <x:c r="L31" s="157"/>
      <x:c r="M31" s="157"/>
      <x:c r="N31" s="157"/>
      <x:c r="O31" s="157"/>
      <x:c r="P31" s="157"/>
      <x:c r="Q31" s="157"/>
      <x:c r="R31" s="157"/>
      <x:c r="S31" s="157"/>
      <x:c r="T31" s="158"/>
    </x:row>
    <x:row r="32" ht="24" customHeight="1">
      <x:c r="A32" s="156"/>
      <x:c r="B32" s="157"/>
      <x:c r="C32" s="157"/>
      <x:c r="D32" s="157"/>
      <x:c r="E32" s="157"/>
      <x:c r="F32" s="157"/>
      <x:c r="G32" s="157"/>
      <x:c r="H32" s="157"/>
      <x:c r="I32" s="157"/>
      <x:c r="J32" s="157"/>
      <x:c r="K32" s="157"/>
      <x:c r="L32" s="157"/>
      <x:c r="M32" s="157"/>
      <x:c r="N32" s="157"/>
      <x:c r="O32" s="157"/>
      <x:c r="P32" s="157"/>
      <x:c r="Q32" s="157"/>
      <x:c r="R32" s="157"/>
      <x:c r="S32" s="157"/>
      <x:c r="T32" s="158"/>
    </x:row>
    <x:row r="33" ht="24" customHeight="1">
      <x:c r="A33" s="156"/>
      <x:c r="B33" s="157"/>
      <x:c r="C33" s="157"/>
      <x:c r="D33" s="157"/>
      <x:c r="E33" s="157"/>
      <x:c r="F33" s="157"/>
      <x:c r="G33" s="157"/>
      <x:c r="H33" s="157"/>
      <x:c r="I33" s="157"/>
      <x:c r="J33" s="157"/>
      <x:c r="K33" s="157"/>
      <x:c r="L33" s="157"/>
      <x:c r="M33" s="157"/>
      <x:c r="N33" s="157"/>
      <x:c r="O33" s="157"/>
      <x:c r="P33" s="157"/>
      <x:c r="Q33" s="157"/>
      <x:c r="R33" s="157"/>
      <x:c r="S33" s="157"/>
      <x:c r="T33" s="158"/>
    </x:row>
    <x:row r="34" ht="24" customHeight="1">
      <x:c r="A34" s="156"/>
      <x:c r="B34" s="157"/>
      <x:c r="C34" s="157"/>
      <x:c r="D34" s="157"/>
      <x:c r="E34" s="157"/>
      <x:c r="F34" s="157"/>
      <x:c r="G34" s="157"/>
      <x:c r="H34" s="157"/>
      <x:c r="I34" s="157"/>
      <x:c r="J34" s="157"/>
      <x:c r="K34" s="157"/>
      <x:c r="L34" s="157"/>
      <x:c r="M34" s="157"/>
      <x:c r="N34" s="157"/>
      <x:c r="O34" s="157"/>
      <x:c r="P34" s="157"/>
      <x:c r="Q34" s="157"/>
      <x:c r="R34" s="157"/>
      <x:c r="S34" s="157"/>
      <x:c r="T34" s="158"/>
    </x:row>
    <x:row r="35" ht="24" customHeight="1">
      <x:c r="A35" s="156"/>
      <x:c r="B35" s="157"/>
      <x:c r="C35" s="157"/>
      <x:c r="D35" s="157"/>
      <x:c r="E35" s="157"/>
      <x:c r="F35" s="157"/>
      <x:c r="G35" s="157"/>
      <x:c r="H35" s="157"/>
      <x:c r="I35" s="157"/>
      <x:c r="J35" s="157"/>
      <x:c r="K35" s="157"/>
      <x:c r="L35" s="157"/>
      <x:c r="M35" s="157"/>
      <x:c r="N35" s="157"/>
      <x:c r="O35" s="157"/>
      <x:c r="P35" s="157"/>
      <x:c r="Q35" s="157"/>
      <x:c r="R35" s="157"/>
      <x:c r="S35" s="157"/>
      <x:c r="T35" s="158"/>
    </x:row>
    <x:row r="36" ht="24" customHeight="1">
      <x:c r="A36" s="156"/>
      <x:c r="B36" s="157"/>
      <x:c r="C36" s="157"/>
      <x:c r="D36" s="157"/>
      <x:c r="E36" s="157"/>
      <x:c r="F36" s="157"/>
      <x:c r="G36" s="157"/>
      <x:c r="H36" s="157"/>
      <x:c r="I36" s="157"/>
      <x:c r="J36" s="157"/>
      <x:c r="K36" s="157"/>
      <x:c r="L36" s="157"/>
      <x:c r="M36" s="157"/>
      <x:c r="N36" s="157"/>
      <x:c r="O36" s="157"/>
      <x:c r="P36" s="157"/>
      <x:c r="Q36" s="157"/>
      <x:c r="R36" s="157"/>
      <x:c r="S36" s="157"/>
      <x:c r="T36" s="158"/>
    </x:row>
    <x:row r="37" ht="24" customHeight="1">
      <x:c r="A37" s="159"/>
      <x:c r="B37" s="160"/>
      <x:c r="C37" s="160"/>
      <x:c r="D37" s="160"/>
      <x:c r="E37" s="160"/>
      <x:c r="F37" s="160"/>
      <x:c r="G37" s="160"/>
      <x:c r="H37" s="160"/>
      <x:c r="I37" s="160"/>
      <x:c r="J37" s="160"/>
      <x:c r="K37" s="160"/>
      <x:c r="L37" s="160"/>
      <x:c r="M37" s="160"/>
      <x:c r="N37" s="160"/>
      <x:c r="O37" s="160"/>
      <x:c r="P37" s="160"/>
      <x:c r="Q37" s="160"/>
      <x:c r="R37" s="160"/>
      <x:c r="S37" s="160"/>
      <x:c r="T37" s="1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</x:cols>
  <x:sheetData>
    <x:row r="1">
      <x:c r="A1" s="149" t="str">
        <x:v>历史证据快照 | 候选评分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旧定位候选评分基线｜2026-07-15</x:v>
      </x:c>
      <x:c r="B4" s="166" t="str">
        <x:v>每日候选选题评分｜2026-07-15</x:v>
      </x:c>
      <x:c r="C4" s="166" t="str">
        <x:v>每日候选选题评分｜2026-07-15</x:v>
      </x:c>
      <x:c r="D4" s="166" t="str">
        <x:v>每日候选选题评分｜2026-07-15</x:v>
      </x:c>
      <x:c r="E4" s="166" t="str">
        <x:v>每日候选选题评分｜2026-07-15</x:v>
      </x:c>
      <x:c r="F4" s="166" t="str">
        <x:v>每日候选选题评分｜2026-07-15</x:v>
      </x:c>
      <x:c r="G4" s="166" t="str">
        <x:v>每日候选选题评分｜2026-07-15</x:v>
      </x:c>
      <x:c r="H4" s="166" t="str">
        <x:v>每日候选选题评分｜2026-07-15</x:v>
      </x:c>
      <x:c r="I4" s="166" t="str">
        <x:v>每日候选选题评分｜2026-07-15</x:v>
      </x:c>
      <x:c r="J4" s="166" t="str">
        <x:v>每日候选选题评分｜2026-07-15</x:v>
      </x:c>
      <x:c r="K4" s="166" t="str">
        <x:v>每日候选选题评分｜2026-07-15</x:v>
      </x:c>
      <x:c r="L4" s="166" t="str">
        <x:v>每日候选选题评分｜2026-07-15</x:v>
      </x:c>
      <x:c r="M4" s="166" t="str">
        <x:v>每日候选选题评分｜2026-07-15</x:v>
      </x:c>
      <x:c r="N4" s="166" t="str">
        <x:v>每日候选选题评分｜2026-07-15</x:v>
      </x:c>
      <x:c r="O4" s="166" t="str">
        <x:v>每日候选选题评分｜2026-07-15</x:v>
      </x:c>
      <x:c r="P4" s="166" t="str">
        <x:v>每日候选选题评分｜2026-07-15</x:v>
      </x:c>
      <x:c r="Q4" s="167" t="str">
        <x:v>每日候选选题评分｜2026-07-15</x:v>
      </x:c>
    </x:row>
    <x:row r="5" ht="24" customHeight="1">
      <x:c r="A5" s="156" t="str">
        <x:v>旧评分体系强调热点时效、相关、新奇和可信度；保留用于与成长型评分比较。</x:v>
      </x:c>
      <x:c r="B5" s="157"/>
      <x:c r="C5" s="157"/>
      <x:c r="D5" s="157"/>
      <x:c r="E5" s="157"/>
      <x:c r="F5" s="157"/>
      <x:c r="G5" s="157"/>
      <x:c r="H5" s="157"/>
      <x:c r="I5" s="157"/>
      <x:c r="J5" s="157"/>
      <x:c r="K5" s="157"/>
      <x:c r="L5" s="157"/>
      <x:c r="M5" s="157"/>
      <x:c r="N5" s="157"/>
      <x:c r="O5" s="157"/>
      <x:c r="P5" s="157"/>
      <x:c r="Q5" s="158"/>
    </x:row>
    <x:row r="6" ht="24" customHeight="1">
      <x:c r="A6" s="156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7"/>
      <x:c r="O6" s="157"/>
      <x:c r="P6" s="157"/>
      <x:c r="Q6" s="158"/>
    </x:row>
    <x:row r="7" ht="24" customHeight="1">
      <x:c r="A7" s="156" t="str">
        <x:v>日期</x:v>
      </x:c>
      <x:c r="B7" s="157" t="str">
        <x:v>候选</x:v>
      </x:c>
      <x:c r="C7" s="157" t="str">
        <x:v>类型</x:v>
      </x:c>
      <x:c r="D7" s="157" t="str">
        <x:v>时效</x:v>
      </x:c>
      <x:c r="E7" s="157" t="str">
        <x:v>相关</x:v>
      </x:c>
      <x:c r="F7" s="157" t="str">
        <x:v>新奇</x:v>
      </x:c>
      <x:c r="G7" s="157" t="str">
        <x:v>可讲</x:v>
      </x:c>
      <x:c r="H7" s="157" t="str">
        <x:v>观点</x:v>
      </x:c>
      <x:c r="I7" s="157" t="str">
        <x:v>互动</x:v>
      </x:c>
      <x:c r="J7" s="157" t="str">
        <x:v>可信</x:v>
      </x:c>
      <x:c r="K7" s="157" t="str">
        <x:v>风险</x:v>
      </x:c>
      <x:c r="L7" s="157" t="str">
        <x:v>正向加权分</x:v>
      </x:c>
      <x:c r="M7" s="157" t="str">
        <x:v>风险扣分</x:v>
      </x:c>
      <x:c r="N7" s="157" t="str">
        <x:v>推荐指数</x:v>
      </x:c>
      <x:c r="O7" s="157" t="str">
        <x:v>结论</x:v>
      </x:c>
      <x:c r="P7" s="157" t="str">
        <x:v>推荐/不推荐原因</x:v>
      </x:c>
      <x:c r="Q7" s="158" t="str">
        <x:v>主要来源</x:v>
      </x:c>
    </x:row>
    <x:row r="8" ht="24" customHeight="1">
      <x:c r="A8" s="156" t="n">
        <x:v>46218</x:v>
      </x:c>
      <x:c r="B8" s="157" t="str">
        <x:v>新能源车“平均车龄1.8年”误读</x:v>
      </x:c>
      <x:c r="C8" s="157" t="str">
        <x:v>消费/科技/数据素养</x:v>
      </x:c>
      <x:c r="D8" s="157" t="n">
        <x:v>9</x:v>
      </x:c>
      <x:c r="E8" s="157" t="n">
        <x:v>9</x:v>
      </x:c>
      <x:c r="F8" s="157" t="n">
        <x:v>9</x:v>
      </x:c>
      <x:c r="G8" s="157" t="n">
        <x:v>10</x:v>
      </x:c>
      <x:c r="H8" s="157" t="n">
        <x:v>9</x:v>
      </x:c>
      <x:c r="I8" s="157" t="n">
        <x:v>9</x:v>
      </x:c>
      <x:c r="J8" s="157" t="n">
        <x:v>9</x:v>
      </x:c>
      <x:c r="K8" s="157" t="n">
        <x:v>3</x:v>
      </x:c>
      <x:c r="L8" s="157" t="n">
        <x:v>91.5</x:v>
      </x:c>
      <x:c r="M8" s="157" t="n">
        <x:v>0</x:v>
      </x:c>
      <x:c r="N8" s="157" t="n">
        <x:v>91.5</x:v>
      </x:c>
      <x:c r="O8" s="157" t="str">
        <x:v>主选题</x:v>
      </x:c>
      <x:c r="P8" s="157" t="str">
        <x:v>跨抖音和小红书；口径反常识、可核验、风险低</x:v>
      </x:c>
      <x:c r="Q8" s="158" t="str">
        <x:v>https://www.eeo.com.cn/2026/0714/817225.shtml</x:v>
      </x:c>
    </x:row>
    <x:row r="9" ht="24" customHeight="1">
      <x:c r="A9" s="156" t="n">
        <x:v>46218</x:v>
      </x:c>
      <x:c r="B9" s="157" t="str">
        <x:v>AI拟人化互动服务新规施行</x:v>
      </x:c>
      <x:c r="C9" s="157" t="str">
        <x:v>AI/社会/政策</x:v>
      </x:c>
      <x:c r="D9" s="157" t="n">
        <x:v>10</x:v>
      </x:c>
      <x:c r="E9" s="157" t="n">
        <x:v>9</x:v>
      </x:c>
      <x:c r="F9" s="157" t="n">
        <x:v>9</x:v>
      </x:c>
      <x:c r="G9" s="157" t="n">
        <x:v>9</x:v>
      </x:c>
      <x:c r="H9" s="157" t="n">
        <x:v>10</x:v>
      </x:c>
      <x:c r="I9" s="157" t="n">
        <x:v>10</x:v>
      </x:c>
      <x:c r="J9" s="157" t="n">
        <x:v>10</x:v>
      </x:c>
      <x:c r="K9" s="157" t="n">
        <x:v>6</x:v>
      </x:c>
      <x:c r="L9" s="157" t="n">
        <x:v>95.8</x:v>
      </x:c>
      <x:c r="M9" s="157" t="n">
        <x:v>7.5</x:v>
      </x:c>
      <x:c r="N9" s="157" t="n">
        <x:v>88.3</x:v>
      </x:c>
      <x:c r="O9" s="157" t="str">
        <x:v>备选1</x:v>
      </x:c>
      <x:c r="P9" s="157" t="str">
        <x:v>时效与互动强，但法规措辞需人工审核</x:v>
      </x:c>
      <x:c r="Q9" s="158" t="str">
        <x:v>https://www.cac.gov.cn/2026-04/10/c_1777558395078289.htm</x:v>
      </x:c>
    </x:row>
    <x:row r="10" ht="24" customHeight="1">
      <x:c r="A10" s="156" t="n">
        <x:v>46218</x:v>
      </x:c>
      <x:c r="B10" s="157" t="str">
        <x:v>法国队出局但姆巴佩冲击金靴</x:v>
      </x:c>
      <x:c r="C10" s="157" t="str">
        <x:v>国际/体育</x:v>
      </x:c>
      <x:c r="D10" s="157" t="n">
        <x:v>10</x:v>
      </x:c>
      <x:c r="E10" s="157" t="n">
        <x:v>8</x:v>
      </x:c>
      <x:c r="F10" s="157" t="n">
        <x:v>7</x:v>
      </x:c>
      <x:c r="G10" s="157" t="n">
        <x:v>9</x:v>
      </x:c>
      <x:c r="H10" s="157" t="n">
        <x:v>8</x:v>
      </x:c>
      <x:c r="I10" s="157" t="n">
        <x:v>9</x:v>
      </x:c>
      <x:c r="J10" s="157" t="n">
        <x:v>9</x:v>
      </x:c>
      <x:c r="K10" s="157" t="n">
        <x:v>4</x:v>
      </x:c>
      <x:c r="L10" s="157" t="n">
        <x:v>86.3</x:v>
      </x:c>
      <x:c r="M10" s="157" t="n">
        <x:v>2.5</x:v>
      </x:c>
      <x:c r="N10" s="157" t="n">
        <x:v>83.8</x:v>
      </x:c>
      <x:c r="O10" s="157" t="str">
        <x:v>备选2</x:v>
      </x:c>
      <x:c r="P10" s="157" t="str">
        <x:v>国际热度高，但赛事状态会持续变化</x:v>
      </x:c>
      <x:c r="Q10" s="158" t="str">
        <x:v>https://www.fifa.com/en/tournaments/mens/worldcup/canadamexicousa2026</x:v>
      </x:c>
    </x:row>
    <x:row r="11" ht="24" customHeight="1">
      <x:c r="A11" s="156" t="n">
        <x:v>46218</x:v>
      </x:c>
      <x:c r="B11" s="157" t="str">
        <x:v>人形机器人骑马射箭</x:v>
      </x:c>
      <x:c r="C11" s="157" t="str">
        <x:v>科技趣闻</x:v>
      </x:c>
      <x:c r="D11" s="157" t="n">
        <x:v>8</x:v>
      </x:c>
      <x:c r="E11" s="157" t="n">
        <x:v>8</x:v>
      </x:c>
      <x:c r="F11" s="157" t="n">
        <x:v>10</x:v>
      </x:c>
      <x:c r="G11" s="157" t="n">
        <x:v>9</x:v>
      </x:c>
      <x:c r="H11" s="157" t="n">
        <x:v>8</x:v>
      </x:c>
      <x:c r="I11" s="157" t="n">
        <x:v>8</x:v>
      </x:c>
      <x:c r="J11" s="157" t="n">
        <x:v>7</x:v>
      </x:c>
      <x:c r="K11" s="157" t="n">
        <x:v>3</x:v>
      </x:c>
      <x:c r="L11" s="157" t="n">
        <x:v>82.1</x:v>
      </x:c>
      <x:c r="M11" s="157" t="n">
        <x:v>0</x:v>
      </x:c>
      <x:c r="N11" s="157" t="n">
        <x:v>82.1</x:v>
      </x:c>
      <x:c r="O11" s="157" t="str">
        <x:v>不主推</x:v>
      </x:c>
      <x:c r="P11" s="157" t="str">
        <x:v>视觉新奇但技术细节和自主程度不足</x:v>
      </x:c>
      <x:c r="Q11" s="158" t="str">
        <x:v>https://www.douyin.com/hot/2572482/</x:v>
      </x:c>
    </x:row>
    <x:row r="12" ht="24" customHeight="1">
      <x:c r="A12" s="159" t="n">
        <x:v>46218</x:v>
      </x:c>
      <x:c r="B12" s="160" t="str">
        <x:v>未成年人申领网号网证</x:v>
      </x:c>
      <x:c r="C12" s="160" t="str">
        <x:v>互联网/政策</x:v>
      </x:c>
      <x:c r="D12" s="160" t="n">
        <x:v>9</x:v>
      </x:c>
      <x:c r="E12" s="160" t="n">
        <x:v>8</x:v>
      </x:c>
      <x:c r="F12" s="160" t="n">
        <x:v>7</x:v>
      </x:c>
      <x:c r="G12" s="160" t="n">
        <x:v>8</x:v>
      </x:c>
      <x:c r="H12" s="160" t="n">
        <x:v>8</x:v>
      </x:c>
      <x:c r="I12" s="160" t="n">
        <x:v>9</x:v>
      </x:c>
      <x:c r="J12" s="160" t="n">
        <x:v>10</x:v>
      </x:c>
      <x:c r="K12" s="160" t="n">
        <x:v>6</x:v>
      </x:c>
      <x:c r="L12" s="160" t="n">
        <x:v>85.1</x:v>
      </x:c>
      <x:c r="M12" s="160" t="n">
        <x:v>7.5</x:v>
      </x:c>
      <x:c r="N12" s="160" t="n">
        <x:v>77.6</x:v>
      </x:c>
      <x:c r="O12" s="160" t="str">
        <x:v>不主推</x:v>
      </x:c>
      <x:c r="P12" s="160" t="str">
        <x:v>公共价值高，但政策隐私议题风险较高</x:v>
      </x:c>
      <x:c r="Q12" s="161" t="str">
        <x:v>https://www.gov.cn/zhengce/content/202505/content_7022047.htm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</x:cols>
  <x:sheetData>
    <x:row r="1">
      <x:c r="A1" s="149" t="str">
        <x:v>历史证据快照 | 每周复盘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旧定位每周复盘基线</x:v>
      </x:c>
      <x:c r="B4" s="166" t="str">
        <x:v>每7天内容复盘</x:v>
      </x:c>
      <x:c r="C4" s="166" t="str">
        <x:v>每7天内容复盘</x:v>
      </x:c>
      <x:c r="D4" s="166" t="str">
        <x:v>每7天内容复盘</x:v>
      </x:c>
      <x:c r="E4" s="166" t="str">
        <x:v>每7天内容复盘</x:v>
      </x:c>
      <x:c r="F4" s="166" t="str">
        <x:v>每7天内容复盘</x:v>
      </x:c>
      <x:c r="G4" s="166" t="str">
        <x:v>每7天内容复盘</x:v>
      </x:c>
      <x:c r="H4" s="166" t="str">
        <x:v>每7天内容复盘</x:v>
      </x:c>
      <x:c r="I4" s="166" t="str">
        <x:v>每7天内容复盘</x:v>
      </x:c>
      <x:c r="J4" s="166" t="str">
        <x:v>每7天内容复盘</x:v>
      </x:c>
      <x:c r="K4" s="166" t="str">
        <x:v>每7天内容复盘</x:v>
      </x:c>
      <x:c r="L4" s="166" t="str">
        <x:v>每7天内容复盘</x:v>
      </x:c>
      <x:c r="M4" s="166" t="str">
        <x:v>每7天内容复盘</x:v>
      </x:c>
      <x:c r="N4" s="167" t="str">
        <x:v>每7天内容复盘</x:v>
      </x:c>
    </x:row>
    <x:row r="5" ht="24" customHeight="1">
      <x:c r="A5" s="156" t="str">
        <x:v>旧热点主线复盘结构，保留不删除；新定位使用“双重复盘”工作表。</x:v>
      </x:c>
      <x:c r="B5" s="157"/>
      <x:c r="C5" s="157"/>
      <x:c r="D5" s="157"/>
      <x:c r="E5" s="157"/>
      <x:c r="F5" s="157"/>
      <x:c r="G5" s="157"/>
      <x:c r="H5" s="157"/>
      <x:c r="I5" s="157"/>
      <x:c r="J5" s="157"/>
      <x:c r="K5" s="157"/>
      <x:c r="L5" s="157"/>
      <x:c r="M5" s="157"/>
      <x:c r="N5" s="158"/>
    </x:row>
    <x:row r="6" ht="24" customHeight="1">
      <x:c r="A6" s="156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8"/>
    </x:row>
    <x:row r="7" ht="24" customHeight="1">
      <x:c r="A7" s="156" t="str">
        <x:v>周次</x:v>
      </x:c>
      <x:c r="B7" s="157" t="str">
        <x:v>开始日期</x:v>
      </x:c>
      <x:c r="C7" s="157" t="str">
        <x:v>结束日期</x:v>
      </x:c>
      <x:c r="D7" s="157" t="str">
        <x:v>发布数</x:v>
      </x:c>
      <x:c r="E7" s="157" t="str">
        <x:v>平均3秒留存</x:v>
      </x:c>
      <x:c r="F7" s="157" t="str">
        <x:v>平均完播率</x:v>
      </x:c>
      <x:c r="G7" s="157" t="str">
        <x:v>总播放</x:v>
      </x:c>
      <x:c r="H7" s="157" t="str">
        <x:v>互动率</x:v>
      </x:c>
      <x:c r="I7" s="157" t="str">
        <x:v>最佳类型</x:v>
      </x:c>
      <x:c r="J7" s="157" t="str">
        <x:v>最佳钩子</x:v>
      </x:c>
      <x:c r="K7" s="157" t="str">
        <x:v>增加</x:v>
      </x:c>
      <x:c r="L7" s="157" t="str">
        <x:v>减少</x:v>
      </x:c>
      <x:c r="M7" s="157" t="str">
        <x:v>停止</x:v>
      </x:c>
      <x:c r="N7" s="158" t="str">
        <x:v>表达/风险备注</x:v>
      </x:c>
    </x:row>
    <x:row r="8" ht="24" customHeight="1">
      <x:c r="A8" s="156" t="n">
        <x:v>1</x:v>
      </x:c>
      <x:c r="B8" s="157" t="n">
        <x:v>46218</x:v>
      </x:c>
      <x:c r="C8" s="157" t="n">
        <x:v>46224</x:v>
      </x:c>
      <x:c r="D8" s="157" t="n">
        <x:v>0</x:v>
      </x:c>
      <x:c r="E8" s="157" t="n">
        <x:v>0</x:v>
      </x:c>
      <x:c r="F8" s="157" t="n">
        <x:v>0</x:v>
      </x:c>
      <x:c r="G8" s="157" t="n">
        <x:v>0</x:v>
      </x:c>
      <x:c r="H8" s="157" t="n">
        <x:v>0</x:v>
      </x:c>
      <x:c r="I8" s="157"/>
      <x:c r="J8" s="157"/>
      <x:c r="K8" s="157"/>
      <x:c r="L8" s="157"/>
      <x:c r="M8" s="157"/>
      <x:c r="N8" s="158"/>
    </x:row>
    <x:row r="9" ht="24" customHeight="1">
      <x:c r="A9" s="156" t="n">
        <x:v>2</x:v>
      </x:c>
      <x:c r="B9" s="157" t="n">
        <x:v>46225</x:v>
      </x:c>
      <x:c r="C9" s="157" t="n">
        <x:v>46231</x:v>
      </x:c>
      <x:c r="D9" s="157" t="n">
        <x:v>0</x:v>
      </x:c>
      <x:c r="E9" s="157" t="n">
        <x:v>0</x:v>
      </x:c>
      <x:c r="F9" s="157" t="n">
        <x:v>0</x:v>
      </x:c>
      <x:c r="G9" s="157" t="n">
        <x:v>0</x:v>
      </x:c>
      <x:c r="H9" s="157" t="n">
        <x:v>0</x:v>
      </x:c>
      <x:c r="I9" s="157"/>
      <x:c r="J9" s="157"/>
      <x:c r="K9" s="157"/>
      <x:c r="L9" s="157"/>
      <x:c r="M9" s="157"/>
      <x:c r="N9" s="158"/>
    </x:row>
    <x:row r="10" ht="24" customHeight="1">
      <x:c r="A10" s="156" t="n">
        <x:v>3</x:v>
      </x:c>
      <x:c r="B10" s="157" t="n">
        <x:v>46232</x:v>
      </x:c>
      <x:c r="C10" s="157" t="n">
        <x:v>46238</x:v>
      </x:c>
      <x:c r="D10" s="157" t="n">
        <x:v>0</x:v>
      </x:c>
      <x:c r="E10" s="157" t="n">
        <x:v>0</x:v>
      </x:c>
      <x:c r="F10" s="157" t="n">
        <x:v>0</x:v>
      </x:c>
      <x:c r="G10" s="157" t="n">
        <x:v>0</x:v>
      </x:c>
      <x:c r="H10" s="157" t="n">
        <x:v>0</x:v>
      </x:c>
      <x:c r="I10" s="157"/>
      <x:c r="J10" s="157"/>
      <x:c r="K10" s="157"/>
      <x:c r="L10" s="157"/>
      <x:c r="M10" s="157"/>
      <x:c r="N10" s="158"/>
    </x:row>
    <x:row r="11" ht="24" customHeight="1">
      <x:c r="A11" s="156" t="n">
        <x:v>4</x:v>
      </x:c>
      <x:c r="B11" s="157" t="n">
        <x:v>46239</x:v>
      </x:c>
      <x:c r="C11" s="157" t="n">
        <x:v>46245</x:v>
      </x:c>
      <x:c r="D11" s="157" t="n">
        <x:v>0</x:v>
      </x:c>
      <x:c r="E11" s="157" t="n">
        <x:v>0</x:v>
      </x:c>
      <x:c r="F11" s="157" t="n">
        <x:v>0</x:v>
      </x:c>
      <x:c r="G11" s="157" t="n">
        <x:v>0</x:v>
      </x:c>
      <x:c r="H11" s="157" t="n">
        <x:v>0</x:v>
      </x:c>
      <x:c r="I11" s="157"/>
      <x:c r="J11" s="157"/>
      <x:c r="K11" s="157"/>
      <x:c r="L11" s="157"/>
      <x:c r="M11" s="157"/>
      <x:c r="N11" s="158"/>
    </x:row>
    <x:row r="12" ht="24" customHeight="1">
      <x:c r="A12" s="159" t="n">
        <x:v>5</x:v>
      </x:c>
      <x:c r="B12" s="160" t="n">
        <x:v>46246</x:v>
      </x:c>
      <x:c r="C12" s="160" t="n">
        <x:v>46252</x:v>
      </x:c>
      <x:c r="D12" s="160" t="n">
        <x:v>0</x:v>
      </x:c>
      <x:c r="E12" s="160" t="n">
        <x:v>0</x:v>
      </x:c>
      <x:c r="F12" s="160" t="n">
        <x:v>0</x:v>
      </x:c>
      <x:c r="G12" s="160" t="n">
        <x:v>0</x:v>
      </x:c>
      <x:c r="H12" s="160" t="n">
        <x:v>0</x:v>
      </x:c>
      <x:c r="I12" s="160"/>
      <x:c r="J12" s="160"/>
      <x:c r="K12" s="160"/>
      <x:c r="L12" s="160"/>
      <x:c r="M12" s="160"/>
      <x:c r="N12" s="1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49" t="str">
        <x:v>历史证据快照 | 评分规则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旧定位评分规则基线</x:v>
      </x:c>
      <x:c r="B4" s="166" t="str">
        <x:v>选题评分规则与风险门槛</x:v>
      </x:c>
      <x:c r="C4" s="166" t="str">
        <x:v>选题评分规则与风险门槛</x:v>
      </x:c>
      <x:c r="D4" s="166" t="str">
        <x:v>选题评分规则与风险门槛</x:v>
      </x:c>
      <x:c r="E4" s="167" t="str">
        <x:v>选题评分规则与风险门槛</x:v>
      </x:c>
    </x:row>
    <x:row r="5" ht="24" customHeight="1">
      <x:c r="A5" s="156" t="str">
        <x:v>旧规则保留作比较；新定位使用“成长评分规则”。</x:v>
      </x:c>
      <x:c r="B5" s="157"/>
      <x:c r="C5" s="157"/>
      <x:c r="D5" s="157"/>
      <x:c r="E5" s="158"/>
    </x:row>
    <x:row r="6" ht="24" customHeight="1">
      <x:c r="A6" s="156" t="str">
        <x:v>维度</x:v>
      </x:c>
      <x:c r="B6" s="157" t="str">
        <x:v>权重</x:v>
      </x:c>
      <x:c r="C6" s="157" t="str">
        <x:v>1—3分</x:v>
      </x:c>
      <x:c r="D6" s="157" t="str">
        <x:v>4—7分</x:v>
      </x:c>
      <x:c r="E6" s="158" t="str">
        <x:v>8—10分</x:v>
      </x:c>
    </x:row>
    <x:row r="7" ht="24" customHeight="1">
      <x:c r="A7" s="156" t="str">
        <x:v>时效性</x:v>
      </x:c>
      <x:c r="B7" s="157" t="n">
        <x:v>15</x:v>
      </x:c>
      <x:c r="C7" s="157" t="str">
        <x:v>超过48小时或无新进展</x:v>
      </x:c>
      <x:c r="D7" s="157" t="str">
        <x:v>48小时内但热度一般</x:v>
      </x:c>
      <x:c r="E7" s="158" t="str">
        <x:v>24小时内且仍在上升</x:v>
      </x:c>
    </x:row>
    <x:row r="8" ht="24" customHeight="1">
      <x:c r="A8" s="156" t="str">
        <x:v>目标观众相关性</x:v>
      </x:c>
      <x:c r="B8" s="157" t="n">
        <x:v>15</x:v>
      </x:c>
      <x:c r="C8" s="157" t="str">
        <x:v>仅少数圈层关注</x:v>
      </x:c>
      <x:c r="D8" s="157" t="str">
        <x:v>部分用户有关</x:v>
      </x:c>
      <x:c r="E8" s="158" t="str">
        <x:v>直接影响钱、工作、生活或未来</x:v>
      </x:c>
    </x:row>
    <x:row r="9" ht="24" customHeight="1">
      <x:c r="A9" s="156" t="str">
        <x:v>新奇/反常识</x:v>
      </x:c>
      <x:c r="B9" s="157" t="n">
        <x:v>12</x:v>
      </x:c>
      <x:c r="C9" s="157" t="str">
        <x:v>普通复述</x:v>
      </x:c>
      <x:c r="D9" s="157" t="str">
        <x:v>有一个新信息</x:v>
      </x:c>
      <x:c r="E9" s="158" t="str">
        <x:v>结论或口径明显反常识</x:v>
      </x:c>
    </x:row>
    <x:row r="10" ht="24" customHeight="1">
      <x:c r="A10" s="156" t="str">
        <x:v>口播可讲性</x:v>
      </x:c>
      <x:c r="B10" s="157" t="n">
        <x:v>15</x:v>
      </x:c>
      <x:c r="C10" s="157" t="str">
        <x:v>背景复杂难讲</x:v>
      </x:c>
      <x:c r="D10" s="157" t="str">
        <x:v>可在90秒内讲清</x:v>
      </x:c>
      <x:c r="E10" s="158" t="str">
        <x:v>一句钩子即可立住冲突</x:v>
      </x:c>
    </x:row>
    <x:row r="11" ht="24" customHeight="1">
      <x:c r="A11" s="156" t="str">
        <x:v>观点延展空间</x:v>
      </x:c>
      <x:c r="B11" s="157" t="n">
        <x:v>13</x:v>
      </x:c>
      <x:c r="C11" s="157" t="str">
        <x:v>只能复述</x:v>
      </x:c>
      <x:c r="D11" s="157" t="str">
        <x:v>能给解释</x:v>
      </x:c>
      <x:c r="E11" s="158" t="str">
        <x:v>能给原创判断和生活关联</x:v>
      </x:c>
    </x:row>
    <x:row r="12" ht="24" customHeight="1">
      <x:c r="A12" s="156" t="str">
        <x:v>评论互动潜力</x:v>
      </x:c>
      <x:c r="B12" s="157" t="n">
        <x:v>12</x:v>
      </x:c>
      <x:c r="C12" s="157" t="str">
        <x:v>观众无话可说</x:v>
      </x:c>
      <x:c r="D12" s="157" t="str">
        <x:v>有分歧但问题泛</x:v>
      </x:c>
      <x:c r="E12" s="158" t="str">
        <x:v>观众能基于经验回答</x:v>
      </x:c>
    </x:row>
    <x:row r="13" ht="24" customHeight="1">
      <x:c r="A13" s="156" t="str">
        <x:v>信息可信度</x:v>
      </x:c>
      <x:c r="B13" s="157" t="n">
        <x:v>18</x:v>
      </x:c>
      <x:c r="C13" s="157" t="str">
        <x:v>单一匿名源</x:v>
      </x:c>
      <x:c r="D13" s="157" t="str">
        <x:v>可靠媒体但缺一手</x:v>
      </x:c>
      <x:c r="E13" s="158" t="str">
        <x:v>官方/一手 + 独立交叉核验</x:v>
      </x:c>
    </x:row>
    <x:row r="14" ht="24" customHeight="1">
      <x:c r="A14" s="156" t="str">
        <x:v>内容风险（不计正向权重）</x:v>
      </x:c>
      <x:c r="B14" s="157" t="n">
        <x:v>0</x:v>
      </x:c>
      <x:c r="C14" s="157" t="str">
        <x:v>1—3低风险</x:v>
      </x:c>
      <x:c r="D14" s="157" t="str">
        <x:v>4—5中风险</x:v>
      </x:c>
      <x:c r="E14" s="158" t="str">
        <x:v>6—10较高/高风险</x:v>
      </x:c>
    </x:row>
    <x:row r="15" ht="24" customHeight="1">
      <x:c r="A15" s="156"/>
      <x:c r="B15" s="157"/>
      <x:c r="C15" s="157"/>
      <x:c r="D15" s="157"/>
      <x:c r="E15" s="158"/>
    </x:row>
    <x:row r="16" ht="24" customHeight="1">
      <x:c r="A16" s="156" t="str">
        <x:v>公式：正向加权分 = Σ(维度分×权重)÷10；风险扣分 = max(0,风险-3)×2.5；推荐指数 = 正向加权分-风险扣分。</x:v>
      </x:c>
      <x:c r="B16" s="157"/>
      <x:c r="C16" s="157"/>
      <x:c r="D16" s="157"/>
      <x:c r="E16" s="158"/>
    </x:row>
    <x:row r="17" ht="24" customHeight="1">
      <x:c r="A17" s="156"/>
      <x:c r="B17" s="157"/>
      <x:c r="C17" s="157"/>
      <x:c r="D17" s="157"/>
      <x:c r="E17" s="158"/>
    </x:row>
    <x:row r="18" ht="24" customHeight="1">
      <x:c r="A18" s="156" t="str">
        <x:v>硬门槛</x:v>
      </x:c>
      <x:c r="B18" s="157" t="str">
        <x:v>规则</x:v>
      </x:c>
      <x:c r="C18" s="157"/>
      <x:c r="D18" s="157"/>
      <x:c r="E18" s="158"/>
    </x:row>
    <x:row r="19" ht="24" customHeight="1">
      <x:c r="A19" s="156" t="str">
        <x:v>主选题</x:v>
      </x:c>
      <x:c r="B19" s="157" t="str">
        <x:v>可信度≥8、可讲性≥8、关键事实至少2个来源</x:v>
      </x:c>
      <x:c r="C19" s="157"/>
      <x:c r="D19" s="157"/>
      <x:c r="E19" s="158"/>
    </x:row>
    <x:row r="20" ht="24" customHeight="1">
      <x:c r="A20" s="156" t="str">
        <x:v>风险6—7</x:v>
      </x:c>
      <x:c r="B20" s="157" t="str">
        <x:v>通常只做备选，必须人工审核</x:v>
      </x:c>
      <x:c r="C20" s="157"/>
      <x:c r="D20" s="157"/>
      <x:c r="E20" s="158"/>
    </x:row>
    <x:row r="21" ht="24" customHeight="1">
      <x:c r="A21" s="159" t="str">
        <x:v>风险8—10</x:v>
      </x:c>
      <x:c r="B21" s="160" t="str">
        <x:v>默认不做，除非有强公共价值和充分一手证据</x:v>
      </x:c>
      <x:c r="C21" s="160"/>
      <x:c r="D21" s="160"/>
      <x:c r="E21" s="1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</x:cols>
  <x:sheetData>
    <x:row r="1">
      <x:c r="A1" s="149" t="str">
        <x:v>历史证据快照 | 成长内容台账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30天AI实践成长内容台账</x:v>
      </x:c>
      <x:c r="B4" s="166" t="str">
        <x:v>30天AI实践成长内容台账</x:v>
      </x:c>
      <x:c r="C4" s="166" t="str">
        <x:v>30天AI实践成长内容台账</x:v>
      </x:c>
      <x:c r="D4" s="166" t="str">
        <x:v>30天AI实践成长内容台账</x:v>
      </x:c>
      <x:c r="E4" s="166" t="str">
        <x:v>30天AI实践成长内容台账</x:v>
      </x:c>
      <x:c r="F4" s="166" t="str">
        <x:v>30天AI实践成长内容台账</x:v>
      </x:c>
      <x:c r="G4" s="166" t="str">
        <x:v>30天AI实践成长内容台账</x:v>
      </x:c>
      <x:c r="H4" s="166" t="str">
        <x:v>30天AI实践成长内容台账</x:v>
      </x:c>
      <x:c r="I4" s="166" t="str">
        <x:v>30天AI实践成长内容台账</x:v>
      </x:c>
      <x:c r="J4" s="166" t="str">
        <x:v>30天AI实践成长内容台账</x:v>
      </x:c>
      <x:c r="K4" s="166" t="str">
        <x:v>30天AI实践成长内容台账</x:v>
      </x:c>
      <x:c r="L4" s="166" t="str">
        <x:v>30天AI实践成长内容台账</x:v>
      </x:c>
      <x:c r="M4" s="166" t="str">
        <x:v>30天AI实践成长内容台账</x:v>
      </x:c>
      <x:c r="N4" s="166" t="str">
        <x:v>30天AI实践成长内容台账</x:v>
      </x:c>
      <x:c r="O4" s="166" t="str">
        <x:v>30天AI实践成长内容台账</x:v>
      </x:c>
      <x:c r="P4" s="166" t="str">
        <x:v>30天AI实践成长内容台账</x:v>
      </x:c>
      <x:c r="Q4" s="166" t="str">
        <x:v>30天AI实践成长内容台账</x:v>
      </x:c>
      <x:c r="R4" s="166" t="str">
        <x:v>30天AI实践成长内容台账</x:v>
      </x:c>
      <x:c r="S4" s="166" t="str">
        <x:v>30天AI实践成长内容台账</x:v>
      </x:c>
      <x:c r="T4" s="166" t="str">
        <x:v>30天AI实践成长内容台账</x:v>
      </x:c>
      <x:c r="U4" s="166" t="str">
        <x:v>30天AI实践成长内容台账</x:v>
      </x:c>
      <x:c r="V4" s="166" t="str">
        <x:v>30天AI实践成长内容台账</x:v>
      </x:c>
      <x:c r="W4" s="166" t="str">
        <x:v>30天AI实践成长内容台账</x:v>
      </x:c>
      <x:c r="X4" s="166" t="str">
        <x:v>30天AI实践成长内容台账</x:v>
      </x:c>
      <x:c r="Y4" s="166" t="str">
        <x:v>30天AI实践成长内容台账</x:v>
      </x:c>
      <x:c r="Z4" s="166" t="str">
        <x:v>30天AI实践成长内容台账</x:v>
      </x:c>
      <x:c r="AA4" s="166" t="str">
        <x:v>30天AI实践成长内容台账</x:v>
      </x:c>
      <x:c r="AB4" s="166" t="str">
        <x:v>30天AI实践成长内容台账</x:v>
      </x:c>
      <x:c r="AC4" s="166" t="str">
        <x:v>30天AI实践成长内容台账</x:v>
      </x:c>
      <x:c r="AD4" s="166" t="str">
        <x:v>30天AI实践成长内容台账</x:v>
      </x:c>
      <x:c r="AE4" s="166" t="str">
        <x:v>30天AI实践成长内容台账</x:v>
      </x:c>
      <x:c r="AF4" s="166" t="str">
        <x:v>30天AI实践成长内容台账</x:v>
      </x:c>
      <x:c r="AG4" s="166" t="str">
        <x:v>30天AI实践成长内容台账</x:v>
      </x:c>
      <x:c r="AH4" s="167" t="str">
        <x:v>30天AI实践成长内容台账</x:v>
      </x:c>
    </x:row>
    <x:row r="5" ht="24" customHeight="1">
      <x:c r="A5" s="156" t="str">
        <x:v>先记录真实项目、证据、错误和明日挑战，再记录内容数据。旧综合热点Day 1已作为第0天基线保留；黄色指标发布后回填。</x:v>
      </x:c>
      <x:c r="B5" s="157"/>
      <x:c r="C5" s="157"/>
      <x:c r="D5" s="157"/>
      <x:c r="E5" s="157"/>
      <x:c r="F5" s="157"/>
      <x:c r="G5" s="157"/>
      <x:c r="H5" s="157"/>
      <x:c r="I5" s="157"/>
      <x:c r="J5" s="157"/>
      <x:c r="K5" s="157"/>
      <x:c r="L5" s="157"/>
      <x:c r="M5" s="157"/>
      <x:c r="N5" s="157"/>
      <x:c r="O5" s="157"/>
      <x:c r="P5" s="157"/>
      <x:c r="Q5" s="157"/>
      <x:c r="R5" s="157"/>
      <x:c r="S5" s="157"/>
      <x:c r="T5" s="157"/>
      <x:c r="U5" s="157"/>
      <x:c r="V5" s="157"/>
      <x:c r="W5" s="157"/>
      <x:c r="X5" s="157"/>
      <x:c r="Y5" s="157"/>
      <x:c r="Z5" s="157"/>
      <x:c r="AA5" s="157"/>
      <x:c r="AB5" s="157"/>
      <x:c r="AC5" s="157"/>
      <x:c r="AD5" s="157"/>
      <x:c r="AE5" s="157"/>
      <x:c r="AF5" s="157"/>
      <x:c r="AG5" s="157"/>
      <x:c r="AH5" s="158"/>
    </x:row>
    <x:row r="6" ht="24" customHeight="1">
      <x:c r="A6" s="156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7"/>
      <x:c r="O6" s="157"/>
      <x:c r="P6" s="157"/>
      <x:c r="Q6" s="157"/>
      <x:c r="R6" s="157"/>
      <x:c r="S6" s="157"/>
      <x:c r="T6" s="157"/>
      <x:c r="U6" s="157"/>
      <x:c r="V6" s="157"/>
      <x:c r="W6" s="157"/>
      <x:c r="X6" s="157"/>
      <x:c r="Y6" s="157"/>
      <x:c r="Z6" s="157"/>
      <x:c r="AA6" s="157"/>
      <x:c r="AB6" s="157"/>
      <x:c r="AC6" s="157"/>
      <x:c r="AD6" s="157"/>
      <x:c r="AE6" s="157"/>
      <x:c r="AF6" s="157"/>
      <x:c r="AG6" s="157"/>
      <x:c r="AH6" s="158"/>
    </x:row>
    <x:row r="7" ht="24" customHeight="1">
      <x:c r="A7" s="156" t="str">
        <x:v>日期</x:v>
      </x:c>
      <x:c r="B7" s="157" t="str">
        <x:v>成长天数</x:v>
      </x:c>
      <x:c r="C7" s="157" t="str">
        <x:v>定位版本</x:v>
      </x:c>
      <x:c r="D7" s="157" t="str">
        <x:v>固定栏目</x:v>
      </x:c>
      <x:c r="E7" s="157" t="str">
        <x:v>内容支柱</x:v>
      </x:c>
      <x:c r="F7" s="157" t="str">
        <x:v>AI项目/学习路线</x:v>
      </x:c>
      <x:c r="G7" s="157" t="str">
        <x:v>昨日挑战</x:v>
      </x:c>
      <x:c r="H7" s="157" t="str">
        <x:v>今日真实进展</x:v>
      </x:c>
      <x:c r="I7" s="157" t="str">
        <x:v>可展示证据</x:v>
      </x:c>
      <x:c r="J7" s="157" t="str">
        <x:v>真实错误/返工</x:v>
      </x:c>
      <x:c r="K7" s="157" t="str">
        <x:v>观众可带走经验</x:v>
      </x:c>
      <x:c r="L7" s="157" t="str">
        <x:v>明日挑战</x:v>
      </x:c>
      <x:c r="M7" s="157" t="str">
        <x:v>候选/主选题</x:v>
      </x:c>
      <x:c r="N7" s="157" t="str">
        <x:v>热点辅助</x:v>
      </x:c>
      <x:c r="O7" s="157" t="str">
        <x:v>来源/证据</x:v>
      </x:c>
      <x:c r="P7" s="157" t="str">
        <x:v>标题</x:v>
      </x:c>
      <x:c r="Q7" s="157" t="str">
        <x:v>封面文案</x:v>
      </x:c>
      <x:c r="R7" s="157" t="str">
        <x:v>视频时长(秒)</x:v>
      </x:c>
      <x:c r="S7" s="157" t="str">
        <x:v>开头钩子</x:v>
      </x:c>
      <x:c r="T7" s="157" t="str">
        <x:v>内容结构</x:v>
      </x:c>
      <x:c r="U7" s="157" t="str">
        <x:v>播放量</x:v>
      </x:c>
      <x:c r="V7" s="157" t="str">
        <x:v>3秒留存</x:v>
      </x:c>
      <x:c r="W7" s="157" t="str">
        <x:v>平均观看时长(秒)</x:v>
      </x:c>
      <x:c r="X7" s="157" t="str">
        <x:v>完播率</x:v>
      </x:c>
      <x:c r="Y7" s="157" t="str">
        <x:v>点赞</x:v>
      </x:c>
      <x:c r="Z7" s="157" t="str">
        <x:v>评论</x:v>
      </x:c>
      <x:c r="AA7" s="157" t="str">
        <x:v>收藏</x:v>
      </x:c>
      <x:c r="AB7" s="157" t="str">
        <x:v>转发</x:v>
      </x:c>
      <x:c r="AC7" s="157" t="str">
        <x:v>涨粉</x:v>
      </x:c>
      <x:c r="AD7" s="157" t="str">
        <x:v>状态</x:v>
      </x:c>
      <x:c r="AE7" s="157" t="str">
        <x:v>隐私/版权审核</x:v>
      </x:c>
      <x:c r="AF7" s="157" t="str">
        <x:v>个人学习结论</x:v>
      </x:c>
      <x:c r="AG7" s="157" t="str">
        <x:v>账号内容结论</x:v>
      </x:c>
      <x:c r="AH7" s="158" t="str">
        <x:v>备注</x:v>
      </x:c>
    </x:row>
    <x:row r="8" ht="24" customHeight="1">
      <x:c r="A8" s="156" t="n">
        <x:v>46218</x:v>
      </x:c>
      <x:c r="B8" s="157" t="str">
        <x:v>基线</x:v>
      </x:c>
      <x:c r="C8" s="157" t="str">
        <x:v>v1 综合热点</x:v>
      </x:c>
      <x:c r="D8" s="157" t="str">
        <x:v>旧定位综合热点</x:v>
      </x:c>
      <x:c r="E8" s="157" t="str">
        <x:v>AI热点亲测和普通人解读</x:v>
      </x:c>
      <x:c r="F8" s="157" t="str">
        <x:v>热点口播工作流基线</x:v>
      </x:c>
      <x:c r="G8" s="157" t="str">
        <x:v>无</x:v>
      </x:c>
      <x:c r="H8" s="157" t="str">
        <x:v>完成多平台热点采集、评分和完整口播素材包</x:v>
      </x:c>
      <x:c r="I8" s="157" t="str">
        <x:v>runs/2026-07-15/旧版候选、素材包、来源和原始采集</x:v>
      </x:c>
      <x:c r="J8" s="157" t="str">
        <x:v>主线偏向综合热点，缺少个人AI实践连续性</x:v>
      </x:c>
      <x:c r="K8" s="157" t="str">
        <x:v>看统计数字先确认对象、分母和口径</x:v>
      </x:c>
      <x:c r="L8" s="157" t="str">
        <x:v>把现有系统增量改造成AI实践成长账号</x:v>
      </x:c>
      <x:c r="M8" s="157" t="str">
        <x:v>新能源车平均车龄1.8年误读</x:v>
      </x:c>
      <x:c r="N8" s="157" t="str">
        <x:v>抖音/小红书/微博辅助</x:v>
      </x:c>
      <x:c r="O8" s="157" t="str">
        <x:v>runs/2026-07-15/LEGACY_BASELINE.md</x:v>
      </x:c>
      <x:c r="P8" s="157" t="str">
        <x:v>平均车龄不是汽车寿命，这次很多人看反了</x:v>
      </x:c>
      <x:c r="Q8" s="157" t="str">
        <x:v>1.8年≠车寿命</x:v>
      </x:c>
      <x:c r="R8" s="157" t="n">
        <x:v>75</x:v>
      </x:c>
      <x:c r="S8" s="157" t="str">
        <x:v>一辆新能源车，平均只开1.8年？不是。</x:v>
      </x:c>
      <x:c r="T8" s="157" t="str">
        <x:v>热点冲突→口径澄清→生活比喻→判断</x:v>
      </x:c>
      <x:c r="U8" s="157"/>
      <x:c r="V8" s="157"/>
      <x:c r="W8" s="157"/>
      <x:c r="X8" s="157"/>
      <x:c r="Y8" s="157"/>
      <x:c r="Z8" s="157"/>
      <x:c r="AA8" s="157"/>
      <x:c r="AB8" s="157"/>
      <x:c r="AC8" s="157"/>
      <x:c r="AD8" s="157" t="str">
        <x:v>旧定位基线</x:v>
      </x:c>
      <x:c r="AE8" s="157" t="str">
        <x:v>已保留旧资料；发布前仍需审核</x:v>
      </x:c>
      <x:c r="AF8" s="157" t="str">
        <x:v>完成旧热点工作流基线</x:v>
      </x:c>
      <x:c r="AG8" s="157" t="str">
        <x:v>纯热点难形成个人成长主线</x:v>
      </x:c>
      <x:c r="AH8" s="158" t="str">
        <x:v>旧定位资料完整保留</x:v>
      </x:c>
    </x:row>
    <x:row r="9" ht="24" customHeight="1">
      <x:c r="A9" s="156" t="n">
        <x:v>46218</x:v>
      </x:c>
      <x:c r="B9" s="157" t="str">
        <x:v>Day 1</x:v>
      </x:c>
      <x:c r="C9" s="157" t="str">
        <x:v>v2 AI实践成长</x:v>
      </x:c>
      <x:c r="D9" s="157" t="str">
        <x:v>普通人学AI第1天</x:v>
      </x:c>
      <x:c r="E9" s="157" t="str">
        <x:v>真实AI成长日志</x:v>
      </x:c>
      <x:c r="F9" s="157" t="str">
        <x:v>口播工作流定位重构</x:v>
      </x:c>
      <x:c r="G9" s="157" t="str">
        <x:v>旧系统已经完成Day 1热点试运行，但账号主线需要重新判断</x:v>
      </x:c>
      <x:c r="H9" s="157" t="str">
        <x:v>在不删除旧资料的前提下，把热点主线改造成30天AI实践成长系统</x:v>
      </x:c>
      <x:c r="I9" s="157" t="str">
        <x:v>新版README、创作者档案、30天路线、成长模板、脚本、Excel和校验输出</x:v>
      </x:c>
      <x:c r="J9" s="157" t="str">
        <x:v>第一版系统做得很完整，但方向更像热点号；需要增量返工而不是推倒重来</x:v>
      </x:c>
      <x:c r="K9" s="157" t="str">
        <x:v>AI可以加速执行，但不能替你决定方向；先做小样验证定位，再自动化</x:v>
      </x:c>
      <x:c r="L9" s="157" t="str">
        <x:v>用新流程记录一个真实Codex任务，验证能否讲成45—90秒而不是流水账</x:v>
      </x:c>
      <x:c r="M9" s="157" t="str">
        <x:v>我让AI每天找热点，第一天先发现账号方向可能错了</x:v>
      </x:c>
      <x:c r="N9" s="157" t="str">
        <x:v>本集未使用热点</x:v>
      </x:c>
      <x:c r="O9" s="157" t="str">
        <x:v>F:/code/koubo改造文件、旧基线标记、结构校验结果</x:v>
      </x:c>
      <x:c r="P9" s="157" t="str">
        <x:v>我让AI每天找热点，结果第一天先改了方向</x:v>
      </x:c>
      <x:c r="Q9" s="157" t="str">
        <x:v>系统做完，方向错了</x:v>
      </x:c>
      <x:c r="R9" s="157" t="n">
        <x:v>80</x:v>
      </x:c>
      <x:c r="S9" s="157" t="str">
        <x:v>我让AI每天替我找选题，结果第一天就发现方向可能错了。</x:v>
      </x:c>
      <x:c r="T9" s="157" t="str">
        <x:v>结果冲突→为什么改→增量改造→可展示产物→复用经验→明日挑战</x:v>
      </x:c>
      <x:c r="U9" s="157"/>
      <x:c r="V9" s="157"/>
      <x:c r="W9" s="157"/>
      <x:c r="X9" s="157"/>
      <x:c r="Y9" s="157"/>
      <x:c r="Z9" s="157"/>
      <x:c r="AA9" s="157"/>
      <x:c r="AB9" s="157"/>
      <x:c r="AC9" s="157"/>
      <x:c r="AD9" s="157" t="str">
        <x:v>待审核</x:v>
      </x:c>
      <x:c r="AE9" s="157" t="str">
        <x:v>待用户确认可公开路径与截图</x:v>
      </x:c>
      <x:c r="AF9" s="157" t="str">
        <x:v>学会先验证问题和定位，再让AI规模化执行</x:v>
      </x:c>
      <x:c r="AG9" s="157" t="str">
        <x:v>成长故事比纯热点更能形成连续关系</x:v>
      </x:c>
      <x:c r="AH9" s="158" t="str">
        <x:v>新定位样例，未发布</x:v>
      </x:c>
    </x:row>
    <x:row r="10" ht="24" customHeight="1">
      <x:c r="A10" s="156"/>
      <x:c r="B10" s="157"/>
      <x:c r="C10" s="157"/>
      <x:c r="D10" s="157"/>
      <x:c r="E10" s="157"/>
      <x:c r="F10" s="157"/>
      <x:c r="G10" s="157"/>
      <x:c r="H10" s="157"/>
      <x:c r="I10" s="157"/>
      <x:c r="J10" s="157"/>
      <x:c r="K10" s="157"/>
      <x:c r="L10" s="157"/>
      <x:c r="M10" s="157"/>
      <x:c r="N10" s="157"/>
      <x:c r="O10" s="157"/>
      <x:c r="P10" s="157"/>
      <x:c r="Q10" s="157"/>
      <x:c r="R10" s="157"/>
      <x:c r="S10" s="157"/>
      <x:c r="T10" s="157"/>
      <x:c r="U10" s="157"/>
      <x:c r="V10" s="157"/>
      <x:c r="W10" s="157"/>
      <x:c r="X10" s="157"/>
      <x:c r="Y10" s="157"/>
      <x:c r="Z10" s="157"/>
      <x:c r="AA10" s="157"/>
      <x:c r="AB10" s="157"/>
      <x:c r="AC10" s="157"/>
      <x:c r="AD10" s="157"/>
      <x:c r="AE10" s="157"/>
      <x:c r="AF10" s="157"/>
      <x:c r="AG10" s="157"/>
      <x:c r="AH10" s="158"/>
    </x:row>
    <x:row r="11" ht="24" customHeight="1">
      <x:c r="A11" s="156"/>
      <x:c r="B11" s="157"/>
      <x:c r="C11" s="157"/>
      <x:c r="D11" s="157"/>
      <x:c r="E11" s="157"/>
      <x:c r="F11" s="157"/>
      <x:c r="G11" s="157"/>
      <x:c r="H11" s="157"/>
      <x:c r="I11" s="157"/>
      <x:c r="J11" s="157"/>
      <x:c r="K11" s="157"/>
      <x:c r="L11" s="157"/>
      <x:c r="M11" s="157"/>
      <x:c r="N11" s="157"/>
      <x:c r="O11" s="157"/>
      <x:c r="P11" s="157"/>
      <x:c r="Q11" s="157"/>
      <x:c r="R11" s="157"/>
      <x:c r="S11" s="157"/>
      <x:c r="T11" s="157"/>
      <x:c r="U11" s="157"/>
      <x:c r="V11" s="157"/>
      <x:c r="W11" s="157"/>
      <x:c r="X11" s="157"/>
      <x:c r="Y11" s="157"/>
      <x:c r="Z11" s="157"/>
      <x:c r="AA11" s="157"/>
      <x:c r="AB11" s="157"/>
      <x:c r="AC11" s="157"/>
      <x:c r="AD11" s="157"/>
      <x:c r="AE11" s="157"/>
      <x:c r="AF11" s="157"/>
      <x:c r="AG11" s="157"/>
      <x:c r="AH11" s="158"/>
    </x:row>
    <x:row r="12" ht="24" customHeight="1">
      <x:c r="A12" s="156"/>
      <x:c r="B12" s="157"/>
      <x:c r="C12" s="157"/>
      <x:c r="D12" s="157"/>
      <x:c r="E12" s="157"/>
      <x:c r="F12" s="157"/>
      <x:c r="G12" s="157"/>
      <x:c r="H12" s="157"/>
      <x:c r="I12" s="157"/>
      <x:c r="J12" s="157"/>
      <x:c r="K12" s="157"/>
      <x:c r="L12" s="157"/>
      <x:c r="M12" s="157"/>
      <x:c r="N12" s="157"/>
      <x:c r="O12" s="157"/>
      <x:c r="P12" s="157"/>
      <x:c r="Q12" s="157"/>
      <x:c r="R12" s="157"/>
      <x:c r="S12" s="157"/>
      <x:c r="T12" s="157"/>
      <x:c r="U12" s="157"/>
      <x:c r="V12" s="157"/>
      <x:c r="W12" s="157"/>
      <x:c r="X12" s="157"/>
      <x:c r="Y12" s="157"/>
      <x:c r="Z12" s="157"/>
      <x:c r="AA12" s="157"/>
      <x:c r="AB12" s="157"/>
      <x:c r="AC12" s="157"/>
      <x:c r="AD12" s="157"/>
      <x:c r="AE12" s="157"/>
      <x:c r="AF12" s="157"/>
      <x:c r="AG12" s="157"/>
      <x:c r="AH12" s="158"/>
    </x:row>
    <x:row r="13" ht="24" customHeight="1">
      <x:c r="A13" s="156"/>
      <x:c r="B13" s="157"/>
      <x:c r="C13" s="157"/>
      <x:c r="D13" s="157"/>
      <x:c r="E13" s="157"/>
      <x:c r="F13" s="157"/>
      <x:c r="G13" s="157"/>
      <x:c r="H13" s="157"/>
      <x:c r="I13" s="157"/>
      <x:c r="J13" s="157"/>
      <x:c r="K13" s="157"/>
      <x:c r="L13" s="157"/>
      <x:c r="M13" s="157"/>
      <x:c r="N13" s="157"/>
      <x:c r="O13" s="157"/>
      <x:c r="P13" s="157"/>
      <x:c r="Q13" s="157"/>
      <x:c r="R13" s="157"/>
      <x:c r="S13" s="157"/>
      <x:c r="T13" s="157"/>
      <x:c r="U13" s="157"/>
      <x:c r="V13" s="157"/>
      <x:c r="W13" s="157"/>
      <x:c r="X13" s="157"/>
      <x:c r="Y13" s="157"/>
      <x:c r="Z13" s="157"/>
      <x:c r="AA13" s="157"/>
      <x:c r="AB13" s="157"/>
      <x:c r="AC13" s="157"/>
      <x:c r="AD13" s="157"/>
      <x:c r="AE13" s="157"/>
      <x:c r="AF13" s="157"/>
      <x:c r="AG13" s="157"/>
      <x:c r="AH13" s="158"/>
    </x:row>
    <x:row r="14" ht="24" customHeight="1">
      <x:c r="A14" s="156"/>
      <x:c r="B14" s="157"/>
      <x:c r="C14" s="157"/>
      <x:c r="D14" s="157"/>
      <x:c r="E14" s="157"/>
      <x:c r="F14" s="157"/>
      <x:c r="G14" s="157"/>
      <x:c r="H14" s="157"/>
      <x:c r="I14" s="157"/>
      <x:c r="J14" s="157"/>
      <x:c r="K14" s="157"/>
      <x:c r="L14" s="157"/>
      <x:c r="M14" s="157"/>
      <x:c r="N14" s="157"/>
      <x:c r="O14" s="157"/>
      <x:c r="P14" s="157"/>
      <x:c r="Q14" s="157"/>
      <x:c r="R14" s="157"/>
      <x:c r="S14" s="157"/>
      <x:c r="T14" s="157"/>
      <x:c r="U14" s="157"/>
      <x:c r="V14" s="157"/>
      <x:c r="W14" s="157"/>
      <x:c r="X14" s="157"/>
      <x:c r="Y14" s="157"/>
      <x:c r="Z14" s="157"/>
      <x:c r="AA14" s="157"/>
      <x:c r="AB14" s="157"/>
      <x:c r="AC14" s="157"/>
      <x:c r="AD14" s="157"/>
      <x:c r="AE14" s="157"/>
      <x:c r="AF14" s="157"/>
      <x:c r="AG14" s="157"/>
      <x:c r="AH14" s="158"/>
    </x:row>
    <x:row r="15" ht="24" customHeight="1">
      <x:c r="A15" s="156"/>
      <x:c r="B15" s="157"/>
      <x:c r="C15" s="157"/>
      <x:c r="D15" s="157"/>
      <x:c r="E15" s="157"/>
      <x:c r="F15" s="157"/>
      <x:c r="G15" s="157"/>
      <x:c r="H15" s="157"/>
      <x:c r="I15" s="157"/>
      <x:c r="J15" s="157"/>
      <x:c r="K15" s="157"/>
      <x:c r="L15" s="157"/>
      <x:c r="M15" s="157"/>
      <x:c r="N15" s="157"/>
      <x:c r="O15" s="157"/>
      <x:c r="P15" s="157"/>
      <x:c r="Q15" s="157"/>
      <x:c r="R15" s="157"/>
      <x:c r="S15" s="157"/>
      <x:c r="T15" s="157"/>
      <x:c r="U15" s="157"/>
      <x:c r="V15" s="157"/>
      <x:c r="W15" s="157"/>
      <x:c r="X15" s="157"/>
      <x:c r="Y15" s="157"/>
      <x:c r="Z15" s="157"/>
      <x:c r="AA15" s="157"/>
      <x:c r="AB15" s="157"/>
      <x:c r="AC15" s="157"/>
      <x:c r="AD15" s="157"/>
      <x:c r="AE15" s="157"/>
      <x:c r="AF15" s="157"/>
      <x:c r="AG15" s="157"/>
      <x:c r="AH15" s="158"/>
    </x:row>
    <x:row r="16" ht="24" customHeight="1">
      <x:c r="A16" s="156"/>
      <x:c r="B16" s="157"/>
      <x:c r="C16" s="157"/>
      <x:c r="D16" s="157"/>
      <x:c r="E16" s="157"/>
      <x:c r="F16" s="157"/>
      <x:c r="G16" s="157"/>
      <x:c r="H16" s="157"/>
      <x:c r="I16" s="157"/>
      <x:c r="J16" s="157"/>
      <x:c r="K16" s="157"/>
      <x:c r="L16" s="157"/>
      <x:c r="M16" s="157"/>
      <x:c r="N16" s="157"/>
      <x:c r="O16" s="157"/>
      <x:c r="P16" s="157"/>
      <x:c r="Q16" s="157"/>
      <x:c r="R16" s="157"/>
      <x:c r="S16" s="157"/>
      <x:c r="T16" s="157"/>
      <x:c r="U16" s="157"/>
      <x:c r="V16" s="157"/>
      <x:c r="W16" s="157"/>
      <x:c r="X16" s="157"/>
      <x:c r="Y16" s="157"/>
      <x:c r="Z16" s="157"/>
      <x:c r="AA16" s="157"/>
      <x:c r="AB16" s="157"/>
      <x:c r="AC16" s="157"/>
      <x:c r="AD16" s="157"/>
      <x:c r="AE16" s="157"/>
      <x:c r="AF16" s="157"/>
      <x:c r="AG16" s="157"/>
      <x:c r="AH16" s="158"/>
    </x:row>
    <x:row r="17" ht="24" customHeight="1">
      <x:c r="A17" s="156"/>
      <x:c r="B17" s="157"/>
      <x:c r="C17" s="157"/>
      <x:c r="D17" s="157"/>
      <x:c r="E17" s="157"/>
      <x:c r="F17" s="157"/>
      <x:c r="G17" s="157"/>
      <x:c r="H17" s="157"/>
      <x:c r="I17" s="157"/>
      <x:c r="J17" s="157"/>
      <x:c r="K17" s="157"/>
      <x:c r="L17" s="157"/>
      <x:c r="M17" s="157"/>
      <x:c r="N17" s="157"/>
      <x:c r="O17" s="157"/>
      <x:c r="P17" s="157"/>
      <x:c r="Q17" s="157"/>
      <x:c r="R17" s="157"/>
      <x:c r="S17" s="157"/>
      <x:c r="T17" s="157"/>
      <x:c r="U17" s="157"/>
      <x:c r="V17" s="157"/>
      <x:c r="W17" s="157"/>
      <x:c r="X17" s="157"/>
      <x:c r="Y17" s="157"/>
      <x:c r="Z17" s="157"/>
      <x:c r="AA17" s="157"/>
      <x:c r="AB17" s="157"/>
      <x:c r="AC17" s="157"/>
      <x:c r="AD17" s="157"/>
      <x:c r="AE17" s="157"/>
      <x:c r="AF17" s="157"/>
      <x:c r="AG17" s="157"/>
      <x:c r="AH17" s="158"/>
    </x:row>
    <x:row r="18" ht="24" customHeight="1">
      <x:c r="A18" s="156"/>
      <x:c r="B18" s="157"/>
      <x:c r="C18" s="157"/>
      <x:c r="D18" s="157"/>
      <x:c r="E18" s="157"/>
      <x:c r="F18" s="157"/>
      <x:c r="G18" s="157"/>
      <x:c r="H18" s="157"/>
      <x:c r="I18" s="157"/>
      <x:c r="J18" s="157"/>
      <x:c r="K18" s="157"/>
      <x:c r="L18" s="157"/>
      <x:c r="M18" s="157"/>
      <x:c r="N18" s="157"/>
      <x:c r="O18" s="157"/>
      <x:c r="P18" s="157"/>
      <x:c r="Q18" s="157"/>
      <x:c r="R18" s="157"/>
      <x:c r="S18" s="157"/>
      <x:c r="T18" s="157"/>
      <x:c r="U18" s="157"/>
      <x:c r="V18" s="157"/>
      <x:c r="W18" s="157"/>
      <x:c r="X18" s="157"/>
      <x:c r="Y18" s="157"/>
      <x:c r="Z18" s="157"/>
      <x:c r="AA18" s="157"/>
      <x:c r="AB18" s="157"/>
      <x:c r="AC18" s="157"/>
      <x:c r="AD18" s="157"/>
      <x:c r="AE18" s="157"/>
      <x:c r="AF18" s="157"/>
      <x:c r="AG18" s="157"/>
      <x:c r="AH18" s="158"/>
    </x:row>
    <x:row r="19" ht="24" customHeight="1">
      <x:c r="A19" s="156"/>
      <x:c r="B19" s="157"/>
      <x:c r="C19" s="157"/>
      <x:c r="D19" s="157"/>
      <x:c r="E19" s="157"/>
      <x:c r="F19" s="157"/>
      <x:c r="G19" s="157"/>
      <x:c r="H19" s="157"/>
      <x:c r="I19" s="157"/>
      <x:c r="J19" s="157"/>
      <x:c r="K19" s="157"/>
      <x:c r="L19" s="157"/>
      <x:c r="M19" s="157"/>
      <x:c r="N19" s="157"/>
      <x:c r="O19" s="157"/>
      <x:c r="P19" s="157"/>
      <x:c r="Q19" s="157"/>
      <x:c r="R19" s="157"/>
      <x:c r="S19" s="157"/>
      <x:c r="T19" s="157"/>
      <x:c r="U19" s="157"/>
      <x:c r="V19" s="157"/>
      <x:c r="W19" s="157"/>
      <x:c r="X19" s="157"/>
      <x:c r="Y19" s="157"/>
      <x:c r="Z19" s="157"/>
      <x:c r="AA19" s="157"/>
      <x:c r="AB19" s="157"/>
      <x:c r="AC19" s="157"/>
      <x:c r="AD19" s="157"/>
      <x:c r="AE19" s="157"/>
      <x:c r="AF19" s="157"/>
      <x:c r="AG19" s="157"/>
      <x:c r="AH19" s="158"/>
    </x:row>
    <x:row r="20" ht="24" customHeight="1">
      <x:c r="A20" s="156"/>
      <x:c r="B20" s="157"/>
      <x:c r="C20" s="157"/>
      <x:c r="D20" s="157"/>
      <x:c r="E20" s="157"/>
      <x:c r="F20" s="157"/>
      <x:c r="G20" s="157"/>
      <x:c r="H20" s="157"/>
      <x:c r="I20" s="157"/>
      <x:c r="J20" s="157"/>
      <x:c r="K20" s="157"/>
      <x:c r="L20" s="157"/>
      <x:c r="M20" s="157"/>
      <x:c r="N20" s="157"/>
      <x:c r="O20" s="157"/>
      <x:c r="P20" s="157"/>
      <x:c r="Q20" s="157"/>
      <x:c r="R20" s="157"/>
      <x:c r="S20" s="157"/>
      <x:c r="T20" s="157"/>
      <x:c r="U20" s="157"/>
      <x:c r="V20" s="157"/>
      <x:c r="W20" s="157"/>
      <x:c r="X20" s="157"/>
      <x:c r="Y20" s="157"/>
      <x:c r="Z20" s="157"/>
      <x:c r="AA20" s="157"/>
      <x:c r="AB20" s="157"/>
      <x:c r="AC20" s="157"/>
      <x:c r="AD20" s="157"/>
      <x:c r="AE20" s="157"/>
      <x:c r="AF20" s="157"/>
      <x:c r="AG20" s="157"/>
      <x:c r="AH20" s="158"/>
    </x:row>
    <x:row r="21" ht="24" customHeight="1">
      <x:c r="A21" s="156"/>
      <x:c r="B21" s="157"/>
      <x:c r="C21" s="157"/>
      <x:c r="D21" s="157"/>
      <x:c r="E21" s="157"/>
      <x:c r="F21" s="157"/>
      <x:c r="G21" s="157"/>
      <x:c r="H21" s="157"/>
      <x:c r="I21" s="157"/>
      <x:c r="J21" s="157"/>
      <x:c r="K21" s="157"/>
      <x:c r="L21" s="157"/>
      <x:c r="M21" s="157"/>
      <x:c r="N21" s="157"/>
      <x:c r="O21" s="157"/>
      <x:c r="P21" s="157"/>
      <x:c r="Q21" s="157"/>
      <x:c r="R21" s="157"/>
      <x:c r="S21" s="157"/>
      <x:c r="T21" s="157"/>
      <x:c r="U21" s="157"/>
      <x:c r="V21" s="157"/>
      <x:c r="W21" s="157"/>
      <x:c r="X21" s="157"/>
      <x:c r="Y21" s="157"/>
      <x:c r="Z21" s="157"/>
      <x:c r="AA21" s="157"/>
      <x:c r="AB21" s="157"/>
      <x:c r="AC21" s="157"/>
      <x:c r="AD21" s="157"/>
      <x:c r="AE21" s="157"/>
      <x:c r="AF21" s="157"/>
      <x:c r="AG21" s="157"/>
      <x:c r="AH21" s="158"/>
    </x:row>
    <x:row r="22" ht="24" customHeight="1">
      <x:c r="A22" s="156"/>
      <x:c r="B22" s="157"/>
      <x:c r="C22" s="157"/>
      <x:c r="D22" s="157"/>
      <x:c r="E22" s="157"/>
      <x:c r="F22" s="157"/>
      <x:c r="G22" s="157"/>
      <x:c r="H22" s="157"/>
      <x:c r="I22" s="157"/>
      <x:c r="J22" s="157"/>
      <x:c r="K22" s="157"/>
      <x:c r="L22" s="157"/>
      <x:c r="M22" s="157"/>
      <x:c r="N22" s="157"/>
      <x:c r="O22" s="157"/>
      <x:c r="P22" s="157"/>
      <x:c r="Q22" s="157"/>
      <x:c r="R22" s="157"/>
      <x:c r="S22" s="157"/>
      <x:c r="T22" s="157"/>
      <x:c r="U22" s="157"/>
      <x:c r="V22" s="157"/>
      <x:c r="W22" s="157"/>
      <x:c r="X22" s="157"/>
      <x:c r="Y22" s="157"/>
      <x:c r="Z22" s="157"/>
      <x:c r="AA22" s="157"/>
      <x:c r="AB22" s="157"/>
      <x:c r="AC22" s="157"/>
      <x:c r="AD22" s="157"/>
      <x:c r="AE22" s="157"/>
      <x:c r="AF22" s="157"/>
      <x:c r="AG22" s="157"/>
      <x:c r="AH22" s="158"/>
    </x:row>
    <x:row r="23" ht="24" customHeight="1">
      <x:c r="A23" s="156"/>
      <x:c r="B23" s="157"/>
      <x:c r="C23" s="157"/>
      <x:c r="D23" s="157"/>
      <x:c r="E23" s="157"/>
      <x:c r="F23" s="157"/>
      <x:c r="G23" s="157"/>
      <x:c r="H23" s="157"/>
      <x:c r="I23" s="157"/>
      <x:c r="J23" s="157"/>
      <x:c r="K23" s="157"/>
      <x:c r="L23" s="157"/>
      <x:c r="M23" s="157"/>
      <x:c r="N23" s="157"/>
      <x:c r="O23" s="157"/>
      <x:c r="P23" s="157"/>
      <x:c r="Q23" s="157"/>
      <x:c r="R23" s="157"/>
      <x:c r="S23" s="157"/>
      <x:c r="T23" s="157"/>
      <x:c r="U23" s="157"/>
      <x:c r="V23" s="157"/>
      <x:c r="W23" s="157"/>
      <x:c r="X23" s="157"/>
      <x:c r="Y23" s="157"/>
      <x:c r="Z23" s="157"/>
      <x:c r="AA23" s="157"/>
      <x:c r="AB23" s="157"/>
      <x:c r="AC23" s="157"/>
      <x:c r="AD23" s="157"/>
      <x:c r="AE23" s="157"/>
      <x:c r="AF23" s="157"/>
      <x:c r="AG23" s="157"/>
      <x:c r="AH23" s="158"/>
    </x:row>
    <x:row r="24" ht="24" customHeight="1">
      <x:c r="A24" s="156"/>
      <x:c r="B24" s="157"/>
      <x:c r="C24" s="157"/>
      <x:c r="D24" s="157"/>
      <x:c r="E24" s="157"/>
      <x:c r="F24" s="157"/>
      <x:c r="G24" s="157"/>
      <x:c r="H24" s="157"/>
      <x:c r="I24" s="157"/>
      <x:c r="J24" s="157"/>
      <x:c r="K24" s="157"/>
      <x:c r="L24" s="157"/>
      <x:c r="M24" s="157"/>
      <x:c r="N24" s="157"/>
      <x:c r="O24" s="157"/>
      <x:c r="P24" s="157"/>
      <x:c r="Q24" s="157"/>
      <x:c r="R24" s="157"/>
      <x:c r="S24" s="157"/>
      <x:c r="T24" s="157"/>
      <x:c r="U24" s="157"/>
      <x:c r="V24" s="157"/>
      <x:c r="W24" s="157"/>
      <x:c r="X24" s="157"/>
      <x:c r="Y24" s="157"/>
      <x:c r="Z24" s="157"/>
      <x:c r="AA24" s="157"/>
      <x:c r="AB24" s="157"/>
      <x:c r="AC24" s="157"/>
      <x:c r="AD24" s="157"/>
      <x:c r="AE24" s="157"/>
      <x:c r="AF24" s="157"/>
      <x:c r="AG24" s="157"/>
      <x:c r="AH24" s="158"/>
    </x:row>
    <x:row r="25" ht="24" customHeight="1">
      <x:c r="A25" s="156"/>
      <x:c r="B25" s="157"/>
      <x:c r="C25" s="157"/>
      <x:c r="D25" s="157"/>
      <x:c r="E25" s="157"/>
      <x:c r="F25" s="157"/>
      <x:c r="G25" s="157"/>
      <x:c r="H25" s="157"/>
      <x:c r="I25" s="157"/>
      <x:c r="J25" s="157"/>
      <x:c r="K25" s="157"/>
      <x:c r="L25" s="157"/>
      <x:c r="M25" s="157"/>
      <x:c r="N25" s="157"/>
      <x:c r="O25" s="157"/>
      <x:c r="P25" s="157"/>
      <x:c r="Q25" s="157"/>
      <x:c r="R25" s="157"/>
      <x:c r="S25" s="157"/>
      <x:c r="T25" s="157"/>
      <x:c r="U25" s="157"/>
      <x:c r="V25" s="157"/>
      <x:c r="W25" s="157"/>
      <x:c r="X25" s="157"/>
      <x:c r="Y25" s="157"/>
      <x:c r="Z25" s="157"/>
      <x:c r="AA25" s="157"/>
      <x:c r="AB25" s="157"/>
      <x:c r="AC25" s="157"/>
      <x:c r="AD25" s="157"/>
      <x:c r="AE25" s="157"/>
      <x:c r="AF25" s="157"/>
      <x:c r="AG25" s="157"/>
      <x:c r="AH25" s="158"/>
    </x:row>
    <x:row r="26" ht="24" customHeight="1">
      <x:c r="A26" s="156"/>
      <x:c r="B26" s="157"/>
      <x:c r="C26" s="157"/>
      <x:c r="D26" s="157"/>
      <x:c r="E26" s="157"/>
      <x:c r="F26" s="157"/>
      <x:c r="G26" s="157"/>
      <x:c r="H26" s="157"/>
      <x:c r="I26" s="157"/>
      <x:c r="J26" s="157"/>
      <x:c r="K26" s="157"/>
      <x:c r="L26" s="157"/>
      <x:c r="M26" s="157"/>
      <x:c r="N26" s="157"/>
      <x:c r="O26" s="157"/>
      <x:c r="P26" s="157"/>
      <x:c r="Q26" s="157"/>
      <x:c r="R26" s="157"/>
      <x:c r="S26" s="157"/>
      <x:c r="T26" s="157"/>
      <x:c r="U26" s="157"/>
      <x:c r="V26" s="157"/>
      <x:c r="W26" s="157"/>
      <x:c r="X26" s="157"/>
      <x:c r="Y26" s="157"/>
      <x:c r="Z26" s="157"/>
      <x:c r="AA26" s="157"/>
      <x:c r="AB26" s="157"/>
      <x:c r="AC26" s="157"/>
      <x:c r="AD26" s="157"/>
      <x:c r="AE26" s="157"/>
      <x:c r="AF26" s="157"/>
      <x:c r="AG26" s="157"/>
      <x:c r="AH26" s="158"/>
    </x:row>
    <x:row r="27" ht="24" customHeight="1">
      <x:c r="A27" s="156"/>
      <x:c r="B27" s="157"/>
      <x:c r="C27" s="157"/>
      <x:c r="D27" s="157"/>
      <x:c r="E27" s="157"/>
      <x:c r="F27" s="157"/>
      <x:c r="G27" s="157"/>
      <x:c r="H27" s="157"/>
      <x:c r="I27" s="157"/>
      <x:c r="J27" s="157"/>
      <x:c r="K27" s="157"/>
      <x:c r="L27" s="157"/>
      <x:c r="M27" s="157"/>
      <x:c r="N27" s="157"/>
      <x:c r="O27" s="157"/>
      <x:c r="P27" s="157"/>
      <x:c r="Q27" s="157"/>
      <x:c r="R27" s="157"/>
      <x:c r="S27" s="157"/>
      <x:c r="T27" s="157"/>
      <x:c r="U27" s="157"/>
      <x:c r="V27" s="157"/>
      <x:c r="W27" s="157"/>
      <x:c r="X27" s="157"/>
      <x:c r="Y27" s="157"/>
      <x:c r="Z27" s="157"/>
      <x:c r="AA27" s="157"/>
      <x:c r="AB27" s="157"/>
      <x:c r="AC27" s="157"/>
      <x:c r="AD27" s="157"/>
      <x:c r="AE27" s="157"/>
      <x:c r="AF27" s="157"/>
      <x:c r="AG27" s="157"/>
      <x:c r="AH27" s="158"/>
    </x:row>
    <x:row r="28" ht="24" customHeight="1">
      <x:c r="A28" s="156"/>
      <x:c r="B28" s="157"/>
      <x:c r="C28" s="157"/>
      <x:c r="D28" s="157"/>
      <x:c r="E28" s="157"/>
      <x:c r="F28" s="157"/>
      <x:c r="G28" s="157"/>
      <x:c r="H28" s="157"/>
      <x:c r="I28" s="157"/>
      <x:c r="J28" s="157"/>
      <x:c r="K28" s="157"/>
      <x:c r="L28" s="157"/>
      <x:c r="M28" s="157"/>
      <x:c r="N28" s="157"/>
      <x:c r="O28" s="157"/>
      <x:c r="P28" s="157"/>
      <x:c r="Q28" s="157"/>
      <x:c r="R28" s="157"/>
      <x:c r="S28" s="157"/>
      <x:c r="T28" s="157"/>
      <x:c r="U28" s="157"/>
      <x:c r="V28" s="157"/>
      <x:c r="W28" s="157"/>
      <x:c r="X28" s="157"/>
      <x:c r="Y28" s="157"/>
      <x:c r="Z28" s="157"/>
      <x:c r="AA28" s="157"/>
      <x:c r="AB28" s="157"/>
      <x:c r="AC28" s="157"/>
      <x:c r="AD28" s="157"/>
      <x:c r="AE28" s="157"/>
      <x:c r="AF28" s="157"/>
      <x:c r="AG28" s="157"/>
      <x:c r="AH28" s="158"/>
    </x:row>
    <x:row r="29" ht="24" customHeight="1">
      <x:c r="A29" s="156"/>
      <x:c r="B29" s="157"/>
      <x:c r="C29" s="157"/>
      <x:c r="D29" s="157"/>
      <x:c r="E29" s="157"/>
      <x:c r="F29" s="157"/>
      <x:c r="G29" s="157"/>
      <x:c r="H29" s="157"/>
      <x:c r="I29" s="157"/>
      <x:c r="J29" s="157"/>
      <x:c r="K29" s="157"/>
      <x:c r="L29" s="157"/>
      <x:c r="M29" s="157"/>
      <x:c r="N29" s="157"/>
      <x:c r="O29" s="157"/>
      <x:c r="P29" s="157"/>
      <x:c r="Q29" s="157"/>
      <x:c r="R29" s="157"/>
      <x:c r="S29" s="157"/>
      <x:c r="T29" s="157"/>
      <x:c r="U29" s="157"/>
      <x:c r="V29" s="157"/>
      <x:c r="W29" s="157"/>
      <x:c r="X29" s="157"/>
      <x:c r="Y29" s="157"/>
      <x:c r="Z29" s="157"/>
      <x:c r="AA29" s="157"/>
      <x:c r="AB29" s="157"/>
      <x:c r="AC29" s="157"/>
      <x:c r="AD29" s="157"/>
      <x:c r="AE29" s="157"/>
      <x:c r="AF29" s="157"/>
      <x:c r="AG29" s="157"/>
      <x:c r="AH29" s="158"/>
    </x:row>
    <x:row r="30" ht="24" customHeight="1">
      <x:c r="A30" s="156"/>
      <x:c r="B30" s="157"/>
      <x:c r="C30" s="157"/>
      <x:c r="D30" s="157"/>
      <x:c r="E30" s="157"/>
      <x:c r="F30" s="157"/>
      <x:c r="G30" s="157"/>
      <x:c r="H30" s="157"/>
      <x:c r="I30" s="157"/>
      <x:c r="J30" s="157"/>
      <x:c r="K30" s="157"/>
      <x:c r="L30" s="157"/>
      <x:c r="M30" s="157"/>
      <x:c r="N30" s="157"/>
      <x:c r="O30" s="157"/>
      <x:c r="P30" s="157"/>
      <x:c r="Q30" s="157"/>
      <x:c r="R30" s="157"/>
      <x:c r="S30" s="157"/>
      <x:c r="T30" s="157"/>
      <x:c r="U30" s="157"/>
      <x:c r="V30" s="157"/>
      <x:c r="W30" s="157"/>
      <x:c r="X30" s="157"/>
      <x:c r="Y30" s="157"/>
      <x:c r="Z30" s="157"/>
      <x:c r="AA30" s="157"/>
      <x:c r="AB30" s="157"/>
      <x:c r="AC30" s="157"/>
      <x:c r="AD30" s="157"/>
      <x:c r="AE30" s="157"/>
      <x:c r="AF30" s="157"/>
      <x:c r="AG30" s="157"/>
      <x:c r="AH30" s="158"/>
    </x:row>
    <x:row r="31" ht="24" customHeight="1">
      <x:c r="A31" s="156"/>
      <x:c r="B31" s="157"/>
      <x:c r="C31" s="157"/>
      <x:c r="D31" s="157"/>
      <x:c r="E31" s="157"/>
      <x:c r="F31" s="157"/>
      <x:c r="G31" s="157"/>
      <x:c r="H31" s="157"/>
      <x:c r="I31" s="157"/>
      <x:c r="J31" s="157"/>
      <x:c r="K31" s="157"/>
      <x:c r="L31" s="157"/>
      <x:c r="M31" s="157"/>
      <x:c r="N31" s="157"/>
      <x:c r="O31" s="157"/>
      <x:c r="P31" s="157"/>
      <x:c r="Q31" s="157"/>
      <x:c r="R31" s="157"/>
      <x:c r="S31" s="157"/>
      <x:c r="T31" s="157"/>
      <x:c r="U31" s="157"/>
      <x:c r="V31" s="157"/>
      <x:c r="W31" s="157"/>
      <x:c r="X31" s="157"/>
      <x:c r="Y31" s="157"/>
      <x:c r="Z31" s="157"/>
      <x:c r="AA31" s="157"/>
      <x:c r="AB31" s="157"/>
      <x:c r="AC31" s="157"/>
      <x:c r="AD31" s="157"/>
      <x:c r="AE31" s="157"/>
      <x:c r="AF31" s="157"/>
      <x:c r="AG31" s="157"/>
      <x:c r="AH31" s="158"/>
    </x:row>
    <x:row r="32" ht="24" customHeight="1">
      <x:c r="A32" s="156"/>
      <x:c r="B32" s="157"/>
      <x:c r="C32" s="157"/>
      <x:c r="D32" s="157"/>
      <x:c r="E32" s="157"/>
      <x:c r="F32" s="157"/>
      <x:c r="G32" s="157"/>
      <x:c r="H32" s="157"/>
      <x:c r="I32" s="157"/>
      <x:c r="J32" s="157"/>
      <x:c r="K32" s="157"/>
      <x:c r="L32" s="157"/>
      <x:c r="M32" s="157"/>
      <x:c r="N32" s="157"/>
      <x:c r="O32" s="157"/>
      <x:c r="P32" s="157"/>
      <x:c r="Q32" s="157"/>
      <x:c r="R32" s="157"/>
      <x:c r="S32" s="157"/>
      <x:c r="T32" s="157"/>
      <x:c r="U32" s="157"/>
      <x:c r="V32" s="157"/>
      <x:c r="W32" s="157"/>
      <x:c r="X32" s="157"/>
      <x:c r="Y32" s="157"/>
      <x:c r="Z32" s="157"/>
      <x:c r="AA32" s="157"/>
      <x:c r="AB32" s="157"/>
      <x:c r="AC32" s="157"/>
      <x:c r="AD32" s="157"/>
      <x:c r="AE32" s="157"/>
      <x:c r="AF32" s="157"/>
      <x:c r="AG32" s="157"/>
      <x:c r="AH32" s="158"/>
    </x:row>
    <x:row r="33" ht="24" customHeight="1">
      <x:c r="A33" s="156"/>
      <x:c r="B33" s="157"/>
      <x:c r="C33" s="157"/>
      <x:c r="D33" s="157"/>
      <x:c r="E33" s="157"/>
      <x:c r="F33" s="157"/>
      <x:c r="G33" s="157"/>
      <x:c r="H33" s="157"/>
      <x:c r="I33" s="157"/>
      <x:c r="J33" s="157"/>
      <x:c r="K33" s="157"/>
      <x:c r="L33" s="157"/>
      <x:c r="M33" s="157"/>
      <x:c r="N33" s="157"/>
      <x:c r="O33" s="157"/>
      <x:c r="P33" s="157"/>
      <x:c r="Q33" s="157"/>
      <x:c r="R33" s="157"/>
      <x:c r="S33" s="157"/>
      <x:c r="T33" s="157"/>
      <x:c r="U33" s="157"/>
      <x:c r="V33" s="157"/>
      <x:c r="W33" s="157"/>
      <x:c r="X33" s="157"/>
      <x:c r="Y33" s="157"/>
      <x:c r="Z33" s="157"/>
      <x:c r="AA33" s="157"/>
      <x:c r="AB33" s="157"/>
      <x:c r="AC33" s="157"/>
      <x:c r="AD33" s="157"/>
      <x:c r="AE33" s="157"/>
      <x:c r="AF33" s="157"/>
      <x:c r="AG33" s="157"/>
      <x:c r="AH33" s="158"/>
    </x:row>
    <x:row r="34" ht="24" customHeight="1">
      <x:c r="A34" s="156"/>
      <x:c r="B34" s="157"/>
      <x:c r="C34" s="157"/>
      <x:c r="D34" s="157"/>
      <x:c r="E34" s="157"/>
      <x:c r="F34" s="157"/>
      <x:c r="G34" s="157"/>
      <x:c r="H34" s="157"/>
      <x:c r="I34" s="157"/>
      <x:c r="J34" s="157"/>
      <x:c r="K34" s="157"/>
      <x:c r="L34" s="157"/>
      <x:c r="M34" s="157"/>
      <x:c r="N34" s="157"/>
      <x:c r="O34" s="157"/>
      <x:c r="P34" s="157"/>
      <x:c r="Q34" s="157"/>
      <x:c r="R34" s="157"/>
      <x:c r="S34" s="157"/>
      <x:c r="T34" s="157"/>
      <x:c r="U34" s="157"/>
      <x:c r="V34" s="157"/>
      <x:c r="W34" s="157"/>
      <x:c r="X34" s="157"/>
      <x:c r="Y34" s="157"/>
      <x:c r="Z34" s="157"/>
      <x:c r="AA34" s="157"/>
      <x:c r="AB34" s="157"/>
      <x:c r="AC34" s="157"/>
      <x:c r="AD34" s="157"/>
      <x:c r="AE34" s="157"/>
      <x:c r="AF34" s="157"/>
      <x:c r="AG34" s="157"/>
      <x:c r="AH34" s="158"/>
    </x:row>
    <x:row r="35" ht="24" customHeight="1">
      <x:c r="A35" s="156"/>
      <x:c r="B35" s="157"/>
      <x:c r="C35" s="157"/>
      <x:c r="D35" s="157"/>
      <x:c r="E35" s="157"/>
      <x:c r="F35" s="157"/>
      <x:c r="G35" s="157"/>
      <x:c r="H35" s="157"/>
      <x:c r="I35" s="157"/>
      <x:c r="J35" s="157"/>
      <x:c r="K35" s="157"/>
      <x:c r="L35" s="157"/>
      <x:c r="M35" s="157"/>
      <x:c r="N35" s="157"/>
      <x:c r="O35" s="157"/>
      <x:c r="P35" s="157"/>
      <x:c r="Q35" s="157"/>
      <x:c r="R35" s="157"/>
      <x:c r="S35" s="157"/>
      <x:c r="T35" s="157"/>
      <x:c r="U35" s="157"/>
      <x:c r="V35" s="157"/>
      <x:c r="W35" s="157"/>
      <x:c r="X35" s="157"/>
      <x:c r="Y35" s="157"/>
      <x:c r="Z35" s="157"/>
      <x:c r="AA35" s="157"/>
      <x:c r="AB35" s="157"/>
      <x:c r="AC35" s="157"/>
      <x:c r="AD35" s="157"/>
      <x:c r="AE35" s="157"/>
      <x:c r="AF35" s="157"/>
      <x:c r="AG35" s="157"/>
      <x:c r="AH35" s="158"/>
    </x:row>
    <x:row r="36" ht="24" customHeight="1">
      <x:c r="A36" s="156"/>
      <x:c r="B36" s="157"/>
      <x:c r="C36" s="157"/>
      <x:c r="D36" s="157"/>
      <x:c r="E36" s="157"/>
      <x:c r="F36" s="157"/>
      <x:c r="G36" s="157"/>
      <x:c r="H36" s="157"/>
      <x:c r="I36" s="157"/>
      <x:c r="J36" s="157"/>
      <x:c r="K36" s="157"/>
      <x:c r="L36" s="157"/>
      <x:c r="M36" s="157"/>
      <x:c r="N36" s="157"/>
      <x:c r="O36" s="157"/>
      <x:c r="P36" s="157"/>
      <x:c r="Q36" s="157"/>
      <x:c r="R36" s="157"/>
      <x:c r="S36" s="157"/>
      <x:c r="T36" s="157"/>
      <x:c r="U36" s="157"/>
      <x:c r="V36" s="157"/>
      <x:c r="W36" s="157"/>
      <x:c r="X36" s="157"/>
      <x:c r="Y36" s="157"/>
      <x:c r="Z36" s="157"/>
      <x:c r="AA36" s="157"/>
      <x:c r="AB36" s="157"/>
      <x:c r="AC36" s="157"/>
      <x:c r="AD36" s="157"/>
      <x:c r="AE36" s="157"/>
      <x:c r="AF36" s="157"/>
      <x:c r="AG36" s="157"/>
      <x:c r="AH36" s="158"/>
    </x:row>
    <x:row r="37" ht="24" customHeight="1">
      <x:c r="A37" s="156"/>
      <x:c r="B37" s="157"/>
      <x:c r="C37" s="157"/>
      <x:c r="D37" s="157"/>
      <x:c r="E37" s="157"/>
      <x:c r="F37" s="157"/>
      <x:c r="G37" s="157"/>
      <x:c r="H37" s="157"/>
      <x:c r="I37" s="157"/>
      <x:c r="J37" s="157"/>
      <x:c r="K37" s="157"/>
      <x:c r="L37" s="157"/>
      <x:c r="M37" s="157"/>
      <x:c r="N37" s="157"/>
      <x:c r="O37" s="157"/>
      <x:c r="P37" s="157"/>
      <x:c r="Q37" s="157"/>
      <x:c r="R37" s="157"/>
      <x:c r="S37" s="157"/>
      <x:c r="T37" s="157"/>
      <x:c r="U37" s="157"/>
      <x:c r="V37" s="157"/>
      <x:c r="W37" s="157"/>
      <x:c r="X37" s="157"/>
      <x:c r="Y37" s="157"/>
      <x:c r="Z37" s="157"/>
      <x:c r="AA37" s="157"/>
      <x:c r="AB37" s="157"/>
      <x:c r="AC37" s="157"/>
      <x:c r="AD37" s="157"/>
      <x:c r="AE37" s="157"/>
      <x:c r="AF37" s="157"/>
      <x:c r="AG37" s="157"/>
      <x:c r="AH37" s="158"/>
    </x:row>
    <x:row r="38" ht="24" customHeight="1">
      <x:c r="A38" s="156"/>
      <x:c r="B38" s="157"/>
      <x:c r="C38" s="157"/>
      <x:c r="D38" s="157"/>
      <x:c r="E38" s="157"/>
      <x:c r="F38" s="157"/>
      <x:c r="G38" s="157"/>
      <x:c r="H38" s="157"/>
      <x:c r="I38" s="157"/>
      <x:c r="J38" s="157"/>
      <x:c r="K38" s="157"/>
      <x:c r="L38" s="157"/>
      <x:c r="M38" s="157"/>
      <x:c r="N38" s="157"/>
      <x:c r="O38" s="157"/>
      <x:c r="P38" s="157"/>
      <x:c r="Q38" s="157"/>
      <x:c r="R38" s="157"/>
      <x:c r="S38" s="157"/>
      <x:c r="T38" s="157"/>
      <x:c r="U38" s="157"/>
      <x:c r="V38" s="157"/>
      <x:c r="W38" s="157"/>
      <x:c r="X38" s="157"/>
      <x:c r="Y38" s="157"/>
      <x:c r="Z38" s="157"/>
      <x:c r="AA38" s="157"/>
      <x:c r="AB38" s="157"/>
      <x:c r="AC38" s="157"/>
      <x:c r="AD38" s="157"/>
      <x:c r="AE38" s="157"/>
      <x:c r="AF38" s="157"/>
      <x:c r="AG38" s="157"/>
      <x:c r="AH38" s="158"/>
    </x:row>
    <x:row r="39" ht="24" customHeight="1">
      <x:c r="A39" s="159"/>
      <x:c r="B39" s="160"/>
      <x:c r="C39" s="160"/>
      <x:c r="D39" s="160"/>
      <x:c r="E39" s="160"/>
      <x:c r="F39" s="160"/>
      <x:c r="G39" s="160"/>
      <x:c r="H39" s="160"/>
      <x:c r="I39" s="160"/>
      <x:c r="J39" s="160"/>
      <x:c r="K39" s="160"/>
      <x:c r="L39" s="160"/>
      <x:c r="M39" s="160"/>
      <x:c r="N39" s="160"/>
      <x:c r="O39" s="160"/>
      <x:c r="P39" s="160"/>
      <x:c r="Q39" s="160"/>
      <x:c r="R39" s="160"/>
      <x:c r="S39" s="160"/>
      <x:c r="T39" s="160"/>
      <x:c r="U39" s="160"/>
      <x:c r="V39" s="160"/>
      <x:c r="W39" s="160"/>
      <x:c r="X39" s="160"/>
      <x:c r="Y39" s="160"/>
      <x:c r="Z39" s="160"/>
      <x:c r="AA39" s="160"/>
      <x:c r="AB39" s="160"/>
      <x:c r="AC39" s="160"/>
      <x:c r="AD39" s="160"/>
      <x:c r="AE39" s="160"/>
      <x:c r="AF39" s="160"/>
      <x:c r="AG39" s="160"/>
      <x:c r="AH39" s="1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</x:cols>
  <x:sheetData>
    <x:row r="1">
      <x:c r="A1" s="149" t="str">
        <x:v>历史证据快照 | 成长选题评分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成长型候选评分｜2026-07-15</x:v>
      </x:c>
      <x:c r="B4" s="166" t="str">
        <x:v>成长型候选评分｜2026-07-15</x:v>
      </x:c>
      <x:c r="C4" s="166" t="str">
        <x:v>成长型候选评分｜2026-07-15</x:v>
      </x:c>
      <x:c r="D4" s="166" t="str">
        <x:v>成长型候选评分｜2026-07-15</x:v>
      </x:c>
      <x:c r="E4" s="166" t="str">
        <x:v>成长型候选评分｜2026-07-15</x:v>
      </x:c>
      <x:c r="F4" s="166" t="str">
        <x:v>成长型候选评分｜2026-07-15</x:v>
      </x:c>
      <x:c r="G4" s="166" t="str">
        <x:v>成长型候选评分｜2026-07-15</x:v>
      </x:c>
      <x:c r="H4" s="166" t="str">
        <x:v>成长型候选评分｜2026-07-15</x:v>
      </x:c>
      <x:c r="I4" s="166" t="str">
        <x:v>成长型候选评分｜2026-07-15</x:v>
      </x:c>
      <x:c r="J4" s="166" t="str">
        <x:v>成长型候选评分｜2026-07-15</x:v>
      </x:c>
      <x:c r="K4" s="166" t="str">
        <x:v>成长型候选评分｜2026-07-15</x:v>
      </x:c>
      <x:c r="L4" s="166" t="str">
        <x:v>成长型候选评分｜2026-07-15</x:v>
      </x:c>
      <x:c r="M4" s="166" t="str">
        <x:v>成长型候选评分｜2026-07-15</x:v>
      </x:c>
      <x:c r="N4" s="166" t="str">
        <x:v>成长型候选评分｜2026-07-15</x:v>
      </x:c>
      <x:c r="O4" s="166" t="str">
        <x:v>成长型候选评分｜2026-07-15</x:v>
      </x:c>
      <x:c r="P4" s="166" t="str">
        <x:v>成长型候选评分｜2026-07-15</x:v>
      </x:c>
      <x:c r="Q4" s="166" t="str">
        <x:v>成长型候选评分｜2026-07-15</x:v>
      </x:c>
      <x:c r="R4" s="166" t="str">
        <x:v>成长型候选评分｜2026-07-15</x:v>
      </x:c>
      <x:c r="S4" s="166" t="str">
        <x:v>成长型候选评分｜2026-07-15</x:v>
      </x:c>
      <x:c r="T4" s="167" t="str">
        <x:v>成长型候选评分｜2026-07-15</x:v>
      </x:c>
    </x:row>
    <x:row r="5" ht="24" customHeight="1">
      <x:c r="A5" s="156" t="str">
        <x:v>最多5个固定方向；没有真实素材的方向必须留空。时效性不再是核心维度，风险单独扣分。</x:v>
      </x:c>
      <x:c r="B5" s="157"/>
      <x:c r="C5" s="157"/>
      <x:c r="D5" s="157"/>
      <x:c r="E5" s="157"/>
      <x:c r="F5" s="157"/>
      <x:c r="G5" s="157"/>
      <x:c r="H5" s="157"/>
      <x:c r="I5" s="157"/>
      <x:c r="J5" s="157"/>
      <x:c r="K5" s="157"/>
      <x:c r="L5" s="157"/>
      <x:c r="M5" s="157"/>
      <x:c r="N5" s="157"/>
      <x:c r="O5" s="157"/>
      <x:c r="P5" s="157"/>
      <x:c r="Q5" s="157"/>
      <x:c r="R5" s="157"/>
      <x:c r="S5" s="157"/>
      <x:c r="T5" s="158"/>
    </x:row>
    <x:row r="6" ht="24" customHeight="1">
      <x:c r="A6" s="156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7"/>
      <x:c r="O6" s="157"/>
      <x:c r="P6" s="157"/>
      <x:c r="Q6" s="157"/>
      <x:c r="R6" s="157"/>
      <x:c r="S6" s="157"/>
      <x:c r="T6" s="158"/>
    </x:row>
    <x:row r="7" ht="24" customHeight="1">
      <x:c r="A7" s="156" t="str">
        <x:v>日期</x:v>
      </x:c>
      <x:c r="B7" s="157" t="str">
        <x:v>固定方向</x:v>
      </x:c>
      <x:c r="C7" s="157" t="str">
        <x:v>候选角度</x:v>
      </x:c>
      <x:c r="D7" s="157" t="str">
        <x:v>真实证据</x:v>
      </x:c>
      <x:c r="E7" s="157" t="str">
        <x:v>主线连续</x:v>
      </x:c>
      <x:c r="F7" s="157" t="str">
        <x:v>观众价值</x:v>
      </x:c>
      <x:c r="G7" s="157" t="str">
        <x:v>变化结果</x:v>
      </x:c>
      <x:c r="H7" s="157" t="str">
        <x:v>画面展示</x:v>
      </x:c>
      <x:c r="I7" s="157" t="str">
        <x:v>讲成人话</x:v>
      </x:c>
      <x:c r="J7" s="157" t="str">
        <x:v>共鸣讨论</x:v>
      </x:c>
      <x:c r="K7" s="157" t="str">
        <x:v>明日悬念</x:v>
      </x:c>
      <x:c r="L7" s="157" t="str">
        <x:v>制作可行</x:v>
      </x:c>
      <x:c r="M7" s="157" t="str">
        <x:v>风险</x:v>
      </x:c>
      <x:c r="N7" s="157" t="str">
        <x:v>正向分</x:v>
      </x:c>
      <x:c r="O7" s="157" t="str">
        <x:v>风险扣分</x:v>
      </x:c>
      <x:c r="P7" s="157" t="str">
        <x:v>推荐指数</x:v>
      </x:c>
      <x:c r="Q7" s="157" t="str">
        <x:v>结论</x:v>
      </x:c>
      <x:c r="R7" s="157" t="str">
        <x:v>证据路径</x:v>
      </x:c>
      <x:c r="S7" s="157" t="str">
        <x:v>空缺原因</x:v>
      </x:c>
      <x:c r="T7" s="158" t="str">
        <x:v>备注</x:v>
      </x:c>
    </x:row>
    <x:row r="8" ht="24" customHeight="1">
      <x:c r="A8" s="156" t="n">
        <x:v>46218</x:v>
      </x:c>
      <x:c r="B8" s="157" t="str">
        <x:v>今日进度型</x:v>
      </x:c>
      <x:c r="C8" s="157" t="str">
        <x:v>我让AI每天找热点，第一天先发现账号方向可能错了</x:v>
      </x:c>
      <x:c r="D8" s="157" t="n">
        <x:v>10</x:v>
      </x:c>
      <x:c r="E8" s="157" t="n">
        <x:v>10</x:v>
      </x:c>
      <x:c r="F8" s="157" t="n">
        <x:v>9</x:v>
      </x:c>
      <x:c r="G8" s="157" t="n">
        <x:v>10</x:v>
      </x:c>
      <x:c r="H8" s="157" t="n">
        <x:v>9</x:v>
      </x:c>
      <x:c r="I8" s="157" t="n">
        <x:v>10</x:v>
      </x:c>
      <x:c r="J8" s="157" t="n">
        <x:v>9</x:v>
      </x:c>
      <x:c r="K8" s="157" t="n">
        <x:v>10</x:v>
      </x:c>
      <x:c r="L8" s="157" t="n">
        <x:v>9</x:v>
      </x:c>
      <x:c r="M8" s="157" t="n">
        <x:v>2</x:v>
      </x:c>
      <x:c r="N8" s="157" t="n">
        <x:v>95.9</x:v>
      </x:c>
      <x:c r="O8" s="157" t="n">
        <x:v>0</x:v>
      </x:c>
      <x:c r="P8" s="157" t="n">
        <x:v>95.9</x:v>
      </x:c>
      <x:c r="Q8" s="157" t="str">
        <x:v>主选题</x:v>
      </x:c>
      <x:c r="R8" s="157" t="str">
        <x:v>README、WORKFLOW、旧基线标记、新成长模板和校验结果</x:v>
      </x:c>
      <x:c r="S8" s="157"/>
      <x:c r="T8" s="158" t="str">
        <x:v>真实方向调整，有结果和明日挑战</x:v>
      </x:c>
    </x:row>
    <x:row r="9" ht="24" customHeight="1">
      <x:c r="A9" s="156" t="n">
        <x:v>46218</x:v>
      </x:c>
      <x:c r="B9" s="157" t="str">
        <x:v>今日踩坑型</x:v>
      </x:c>
      <x:c r="C9" s="157" t="str">
        <x:v>系统做得很完整，不等于账号方向做对了</x:v>
      </x:c>
      <x:c r="D9" s="157" t="n">
        <x:v>10</x:v>
      </x:c>
      <x:c r="E9" s="157" t="n">
        <x:v>9</x:v>
      </x:c>
      <x:c r="F9" s="157" t="n">
        <x:v>9</x:v>
      </x:c>
      <x:c r="G9" s="157" t="n">
        <x:v>10</x:v>
      </x:c>
      <x:c r="H9" s="157" t="n">
        <x:v>8</x:v>
      </x:c>
      <x:c r="I9" s="157" t="n">
        <x:v>10</x:v>
      </x:c>
      <x:c r="J9" s="157" t="n">
        <x:v>9</x:v>
      </x:c>
      <x:c r="K9" s="157" t="n">
        <x:v>9</x:v>
      </x:c>
      <x:c r="L9" s="157" t="n">
        <x:v>9</x:v>
      </x:c>
      <x:c r="M9" s="157" t="n">
        <x:v>2</x:v>
      </x:c>
      <x:c r="N9" s="157" t="n">
        <x:v>93</x:v>
      </x:c>
      <x:c r="O9" s="157" t="n">
        <x:v>0</x:v>
      </x:c>
      <x:c r="P9" s="157" t="n">
        <x:v>93</x:v>
      </x:c>
      <x:c r="Q9" s="157" t="str">
        <x:v>备选1</x:v>
      </x:c>
      <x:c r="R9" s="157" t="str">
        <x:v>旧热点版与新成长版文件对比</x:v>
      </x:c>
      <x:c r="S9" s="157"/>
      <x:c r="T9" s="158" t="str">
        <x:v>聚焦战略踩坑，画面略弱于主选</x:v>
      </x:c>
    </x:row>
    <x:row r="10" ht="24" customHeight="1">
      <x:c r="A10" s="156" t="n">
        <x:v>46218</x:v>
      </x:c>
      <x:c r="B10" s="157" t="str">
        <x:v>成果展示型</x:v>
      </x:c>
      <x:c r="C10" s="157" t="str">
        <x:v>我没有推翻重做，把旧系统改成了30天AI成长工作流</x:v>
      </x:c>
      <x:c r="D10" s="157" t="n">
        <x:v>10</x:v>
      </x:c>
      <x:c r="E10" s="157" t="n">
        <x:v>9</x:v>
      </x:c>
      <x:c r="F10" s="157" t="n">
        <x:v>9</x:v>
      </x:c>
      <x:c r="G10" s="157" t="n">
        <x:v>9</x:v>
      </x:c>
      <x:c r="H10" s="157" t="n">
        <x:v>10</x:v>
      </x:c>
      <x:c r="I10" s="157" t="n">
        <x:v>9</x:v>
      </x:c>
      <x:c r="J10" s="157" t="n">
        <x:v>7</x:v>
      </x:c>
      <x:c r="K10" s="157" t="n">
        <x:v>8</x:v>
      </x:c>
      <x:c r="L10" s="157" t="n">
        <x:v>8</x:v>
      </x:c>
      <x:c r="M10" s="157" t="n">
        <x:v>2</x:v>
      </x:c>
      <x:c r="N10" s="157" t="n">
        <x:v>89.6</x:v>
      </x:c>
      <x:c r="O10" s="157" t="n">
        <x:v>0</x:v>
      </x:c>
      <x:c r="P10" s="157" t="n">
        <x:v>89.6</x:v>
      </x:c>
      <x:c r="Q10" s="157" t="str">
        <x:v>备选2</x:v>
      </x:c>
      <x:c r="R10" s="157" t="str">
        <x:v>创作者档案、30天路线、模板、脚本和Excel</x:v>
      </x:c>
      <x:c r="S10" s="157"/>
      <x:c r="T10" s="158" t="str">
        <x:v>成果多，需避免变成文件清单</x:v>
      </x:c>
    </x:row>
    <x:row r="11" ht="24" customHeight="1">
      <x:c r="A11" s="156" t="n">
        <x:v>46218</x:v>
      </x:c>
      <x:c r="B11" s="157" t="str">
        <x:v>AI热点亲测型</x:v>
      </x:c>
      <x:c r="C11" s="157"/>
      <x:c r="D11" s="157" t="n">
        <x:v>0</x:v>
      </x:c>
      <x:c r="E11" s="157" t="n">
        <x:v>0</x:v>
      </x:c>
      <x:c r="F11" s="157" t="n">
        <x:v>0</x:v>
      </x:c>
      <x:c r="G11" s="157" t="n">
        <x:v>0</x:v>
      </x:c>
      <x:c r="H11" s="157" t="n">
        <x:v>0</x:v>
      </x:c>
      <x:c r="I11" s="157" t="n">
        <x:v>0</x:v>
      </x:c>
      <x:c r="J11" s="157" t="n">
        <x:v>0</x:v>
      </x:c>
      <x:c r="K11" s="157" t="n">
        <x:v>0</x:v>
      </x:c>
      <x:c r="L11" s="157" t="n">
        <x:v>0</x:v>
      </x:c>
      <x:c r="M11" s="157" t="n">
        <x:v>1</x:v>
      </x:c>
      <x:c r="N11" s="157" t="n">
        <x:v>0</x:v>
      </x:c>
      <x:c r="O11" s="157" t="n">
        <x:v>0</x:v>
      </x:c>
      <x:c r="P11" s="157" t="n">
        <x:v>0</x:v>
      </x:c>
      <x:c r="Q11" s="157" t="str">
        <x:v>空缺</x:v>
      </x:c>
      <x:c r="R11" s="157"/>
      <x:c r="S11" s="157" t="str">
        <x:v>今天未使用与任务直接相关且亲手验证的AI热点</x:v>
      </x:c>
      <x:c r="T11" s="158" t="str">
        <x:v>不得用纯热点凑数</x:v>
      </x:c>
    </x:row>
    <x:row r="12" ht="24" customHeight="1">
      <x:c r="A12" s="159" t="n">
        <x:v>46218</x:v>
      </x:c>
      <x:c r="B12" s="160" t="str">
        <x:v>成长反思或真实粉丝共创型</x:v>
      </x:c>
      <x:c r="C12" s="160" t="str">
        <x:v>先做3天样例，再决定要不要自动化</x:v>
      </x:c>
      <x:c r="D12" s="160" t="n">
        <x:v>9</x:v>
      </x:c>
      <x:c r="E12" s="160" t="n">
        <x:v>10</x:v>
      </x:c>
      <x:c r="F12" s="160" t="n">
        <x:v>8</x:v>
      </x:c>
      <x:c r="G12" s="160" t="n">
        <x:v>8</x:v>
      </x:c>
      <x:c r="H12" s="160" t="n">
        <x:v>7</x:v>
      </x:c>
      <x:c r="I12" s="160" t="n">
        <x:v>9</x:v>
      </x:c>
      <x:c r="J12" s="160" t="n">
        <x:v>8</x:v>
      </x:c>
      <x:c r="K12" s="160" t="n">
        <x:v>9</x:v>
      </x:c>
      <x:c r="L12" s="160" t="n">
        <x:v>10</x:v>
      </x:c>
      <x:c r="M12" s="160" t="n">
        <x:v>2</x:v>
      </x:c>
      <x:c r="N12" s="160" t="n">
        <x:v>86.6</x:v>
      </x:c>
      <x:c r="O12" s="160" t="n">
        <x:v>0</x:v>
      </x:c>
      <x:c r="P12" s="160" t="n">
        <x:v>86.6</x:v>
      </x:c>
      <x:c r="Q12" s="160" t="str">
        <x:v>可保留</x:v>
      </x:c>
      <x:c r="R12" s="160" t="str">
        <x:v>用户明确要求先审核，不配置自动发布</x:v>
      </x:c>
      <x:c r="S12" s="160" t="str">
        <x:v>没有真实粉丝问题，只做成长反思</x:v>
      </x:c>
      <x:c r="T12" s="161" t="str">
        <x:v>适合周报或后续复盘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</x:cols>
  <x:sheetData>
    <x:row r="1">
      <x:c r="A1" s="149" t="str">
        <x:v>历史证据快照 | 双重复盘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个人学习与账号内容双重复盘</x:v>
      </x:c>
      <x:c r="B4" s="166" t="str">
        <x:v>个人学习与账号内容双重复盘</x:v>
      </x:c>
      <x:c r="C4" s="166" t="str">
        <x:v>个人学习与账号内容双重复盘</x:v>
      </x:c>
      <x:c r="D4" s="166" t="str">
        <x:v>个人学习与账号内容双重复盘</x:v>
      </x:c>
      <x:c r="E4" s="166" t="str">
        <x:v>个人学习与账号内容双重复盘</x:v>
      </x:c>
      <x:c r="F4" s="166" t="str">
        <x:v>个人学习与账号内容双重复盘</x:v>
      </x:c>
      <x:c r="G4" s="166" t="str">
        <x:v>个人学习与账号内容双重复盘</x:v>
      </x:c>
      <x:c r="H4" s="166" t="str">
        <x:v>个人学习与账号内容双重复盘</x:v>
      </x:c>
      <x:c r="I4" s="166" t="str">
        <x:v>个人学习与账号内容双重复盘</x:v>
      </x:c>
      <x:c r="J4" s="166" t="str">
        <x:v>个人学习与账号内容双重复盘</x:v>
      </x:c>
      <x:c r="K4" s="166" t="str">
        <x:v>个人学习与账号内容双重复盘</x:v>
      </x:c>
      <x:c r="L4" s="166" t="str">
        <x:v>个人学习与账号内容双重复盘</x:v>
      </x:c>
      <x:c r="M4" s="166" t="str">
        <x:v>个人学习与账号内容双重复盘</x:v>
      </x:c>
      <x:c r="N4" s="166" t="str">
        <x:v>个人学习与账号内容双重复盘</x:v>
      </x:c>
      <x:c r="O4" s="166" t="str">
        <x:v>个人学习与账号内容双重复盘</x:v>
      </x:c>
      <x:c r="P4" s="166" t="str">
        <x:v>个人学习与账号内容双重复盘</x:v>
      </x:c>
      <x:c r="Q4" s="166" t="str">
        <x:v>个人学习与账号内容双重复盘</x:v>
      </x:c>
      <x:c r="R4" s="166" t="str">
        <x:v>个人学习与账号内容双重复盘</x:v>
      </x:c>
      <x:c r="S4" s="166" t="str">
        <x:v>个人学习与账号内容双重复盘</x:v>
      </x:c>
      <x:c r="T4" s="166" t="str">
        <x:v>个人学习与账号内容双重复盘</x:v>
      </x:c>
      <x:c r="U4" s="167" t="str">
        <x:v>个人学习与账号内容双重复盘</x:v>
      </x:c>
    </x:row>
    <x:row r="5" ht="24" customHeight="1">
      <x:c r="A5" s="156" t="str">
        <x:v>学习进展和内容数据必须分别复盘，再判断二者是否互相促进；同类不足3条只记录观察。</x:v>
      </x:c>
      <x:c r="B5" s="157"/>
      <x:c r="C5" s="157"/>
      <x:c r="D5" s="157"/>
      <x:c r="E5" s="157"/>
      <x:c r="F5" s="157"/>
      <x:c r="G5" s="157"/>
      <x:c r="H5" s="157"/>
      <x:c r="I5" s="157"/>
      <x:c r="J5" s="157"/>
      <x:c r="K5" s="157"/>
      <x:c r="L5" s="157"/>
      <x:c r="M5" s="157"/>
      <x:c r="N5" s="157"/>
      <x:c r="O5" s="157"/>
      <x:c r="P5" s="157"/>
      <x:c r="Q5" s="157"/>
      <x:c r="R5" s="157"/>
      <x:c r="S5" s="157"/>
      <x:c r="T5" s="157"/>
      <x:c r="U5" s="158"/>
    </x:row>
    <x:row r="6" ht="24" customHeight="1">
      <x:c r="A6" s="156"/>
      <x:c r="B6" s="157"/>
      <x:c r="C6" s="157"/>
      <x:c r="D6" s="157"/>
      <x:c r="E6" s="157"/>
      <x:c r="F6" s="157"/>
      <x:c r="G6" s="157"/>
      <x:c r="H6" s="157"/>
      <x:c r="I6" s="157"/>
      <x:c r="J6" s="157"/>
      <x:c r="K6" s="157"/>
      <x:c r="L6" s="157"/>
      <x:c r="M6" s="157"/>
      <x:c r="N6" s="157"/>
      <x:c r="O6" s="157"/>
      <x:c r="P6" s="157"/>
      <x:c r="Q6" s="157"/>
      <x:c r="R6" s="157"/>
      <x:c r="S6" s="157"/>
      <x:c r="T6" s="157"/>
      <x:c r="U6" s="158"/>
    </x:row>
    <x:row r="7" ht="24" customHeight="1">
      <x:c r="A7" s="156" t="str">
        <x:v>周次</x:v>
      </x:c>
      <x:c r="B7" s="157" t="str">
        <x:v>开始</x:v>
      </x:c>
      <x:c r="C7" s="157" t="str">
        <x:v>结束</x:v>
      </x:c>
      <x:c r="D7" s="157" t="str">
        <x:v>计划挑战</x:v>
      </x:c>
      <x:c r="E7" s="157" t="str">
        <x:v>实际完成</x:v>
      </x:c>
      <x:c r="F7" s="157" t="str">
        <x:v>AI帮上忙</x:v>
      </x:c>
      <x:c r="G7" s="157" t="str">
        <x:v>AI出错/返工</x:v>
      </x:c>
      <x:c r="H7" s="157" t="str">
        <x:v>新增独立能力</x:v>
      </x:c>
      <x:c r="I7" s="157" t="str">
        <x:v>下周项目挑战</x:v>
      </x:c>
      <x:c r="J7" s="157" t="str">
        <x:v>发布数</x:v>
      </x:c>
      <x:c r="K7" s="157" t="str">
        <x:v>平均3秒留存</x:v>
      </x:c>
      <x:c r="L7" s="157" t="str">
        <x:v>平均完播率</x:v>
      </x:c>
      <x:c r="M7" s="157" t="str">
        <x:v>总播放</x:v>
      </x:c>
      <x:c r="N7" s="157" t="str">
        <x:v>互动率</x:v>
      </x:c>
      <x:c r="O7" s="157" t="str">
        <x:v>最佳真实变化</x:v>
      </x:c>
      <x:c r="P7" s="157" t="str">
        <x:v>最佳证据画面</x:v>
      </x:c>
      <x:c r="Q7" s="157" t="str">
        <x:v>最佳钩子</x:v>
      </x:c>
      <x:c r="R7" s="157" t="str">
        <x:v>学习动作</x:v>
      </x:c>
      <x:c r="S7" s="157" t="str">
        <x:v>内容动作</x:v>
      </x:c>
      <x:c r="T7" s="157" t="str">
        <x:v>交叉判断</x:v>
      </x:c>
      <x:c r="U7" s="158" t="str">
        <x:v>备注</x:v>
      </x:c>
    </x:row>
    <x:row r="8" ht="24" customHeight="1">
      <x:c r="A8" s="156" t="n">
        <x:v>1</x:v>
      </x:c>
      <x:c r="B8" s="157" t="n">
        <x:v>46218</x:v>
      </x:c>
      <x:c r="C8" s="157" t="n">
        <x:v>46224</x:v>
      </x:c>
      <x:c r="D8" s="157"/>
      <x:c r="E8" s="157"/>
      <x:c r="F8" s="157"/>
      <x:c r="G8" s="157"/>
      <x:c r="H8" s="157"/>
      <x:c r="I8" s="157"/>
      <x:c r="J8" s="157" t="n">
        <x:v>0</x:v>
      </x:c>
      <x:c r="K8" s="157" t="n">
        <x:v>0</x:v>
      </x:c>
      <x:c r="L8" s="157" t="n">
        <x:v>0</x:v>
      </x:c>
      <x:c r="M8" s="157" t="n">
        <x:v>0</x:v>
      </x:c>
      <x:c r="N8" s="157" t="n">
        <x:v>0</x:v>
      </x:c>
      <x:c r="O8" s="157"/>
      <x:c r="P8" s="157"/>
      <x:c r="Q8" s="157"/>
      <x:c r="R8" s="157"/>
      <x:c r="S8" s="157"/>
      <x:c r="T8" s="157"/>
      <x:c r="U8" s="158"/>
    </x:row>
    <x:row r="9" ht="24" customHeight="1">
      <x:c r="A9" s="156" t="n">
        <x:v>2</x:v>
      </x:c>
      <x:c r="B9" s="157" t="n">
        <x:v>46225</x:v>
      </x:c>
      <x:c r="C9" s="157" t="n">
        <x:v>46231</x:v>
      </x:c>
      <x:c r="D9" s="157"/>
      <x:c r="E9" s="157"/>
      <x:c r="F9" s="157"/>
      <x:c r="G9" s="157"/>
      <x:c r="H9" s="157"/>
      <x:c r="I9" s="157"/>
      <x:c r="J9" s="157" t="n">
        <x:v>0</x:v>
      </x:c>
      <x:c r="K9" s="157" t="n">
        <x:v>0</x:v>
      </x:c>
      <x:c r="L9" s="157" t="n">
        <x:v>0</x:v>
      </x:c>
      <x:c r="M9" s="157" t="n">
        <x:v>0</x:v>
      </x:c>
      <x:c r="N9" s="157" t="n">
        <x:v>0</x:v>
      </x:c>
      <x:c r="O9" s="157"/>
      <x:c r="P9" s="157"/>
      <x:c r="Q9" s="157"/>
      <x:c r="R9" s="157"/>
      <x:c r="S9" s="157"/>
      <x:c r="T9" s="157"/>
      <x:c r="U9" s="158"/>
    </x:row>
    <x:row r="10" ht="24" customHeight="1">
      <x:c r="A10" s="156" t="n">
        <x:v>3</x:v>
      </x:c>
      <x:c r="B10" s="157" t="n">
        <x:v>46232</x:v>
      </x:c>
      <x:c r="C10" s="157" t="n">
        <x:v>46238</x:v>
      </x:c>
      <x:c r="D10" s="157"/>
      <x:c r="E10" s="157"/>
      <x:c r="F10" s="157"/>
      <x:c r="G10" s="157"/>
      <x:c r="H10" s="157"/>
      <x:c r="I10" s="157"/>
      <x:c r="J10" s="157" t="n">
        <x:v>0</x:v>
      </x:c>
      <x:c r="K10" s="157" t="n">
        <x:v>0</x:v>
      </x:c>
      <x:c r="L10" s="157" t="n">
        <x:v>0</x:v>
      </x:c>
      <x:c r="M10" s="157" t="n">
        <x:v>0</x:v>
      </x:c>
      <x:c r="N10" s="157" t="n">
        <x:v>0</x:v>
      </x:c>
      <x:c r="O10" s="157"/>
      <x:c r="P10" s="157"/>
      <x:c r="Q10" s="157"/>
      <x:c r="R10" s="157"/>
      <x:c r="S10" s="157"/>
      <x:c r="T10" s="157"/>
      <x:c r="U10" s="158"/>
    </x:row>
    <x:row r="11" ht="24" customHeight="1">
      <x:c r="A11" s="156" t="n">
        <x:v>4</x:v>
      </x:c>
      <x:c r="B11" s="157" t="n">
        <x:v>46239</x:v>
      </x:c>
      <x:c r="C11" s="157" t="n">
        <x:v>46245</x:v>
      </x:c>
      <x:c r="D11" s="157"/>
      <x:c r="E11" s="157"/>
      <x:c r="F11" s="157"/>
      <x:c r="G11" s="157"/>
      <x:c r="H11" s="157"/>
      <x:c r="I11" s="157"/>
      <x:c r="J11" s="157" t="n">
        <x:v>0</x:v>
      </x:c>
      <x:c r="K11" s="157" t="n">
        <x:v>0</x:v>
      </x:c>
      <x:c r="L11" s="157" t="n">
        <x:v>0</x:v>
      </x:c>
      <x:c r="M11" s="157" t="n">
        <x:v>0</x:v>
      </x:c>
      <x:c r="N11" s="157" t="n">
        <x:v>0</x:v>
      </x:c>
      <x:c r="O11" s="157"/>
      <x:c r="P11" s="157"/>
      <x:c r="Q11" s="157"/>
      <x:c r="R11" s="157"/>
      <x:c r="S11" s="157"/>
      <x:c r="T11" s="157"/>
      <x:c r="U11" s="158"/>
    </x:row>
    <x:row r="12" ht="24" customHeight="1">
      <x:c r="A12" s="159" t="n">
        <x:v>5</x:v>
      </x:c>
      <x:c r="B12" s="160" t="n">
        <x:v>46246</x:v>
      </x:c>
      <x:c r="C12" s="160" t="n">
        <x:v>46252</x:v>
      </x:c>
      <x:c r="D12" s="160"/>
      <x:c r="E12" s="160"/>
      <x:c r="F12" s="160"/>
      <x:c r="G12" s="160"/>
      <x:c r="H12" s="160"/>
      <x:c r="I12" s="160"/>
      <x:c r="J12" s="160" t="n">
        <x:v>0</x:v>
      </x:c>
      <x:c r="K12" s="160" t="n">
        <x:v>0</x:v>
      </x:c>
      <x:c r="L12" s="160" t="n">
        <x:v>0</x:v>
      </x:c>
      <x:c r="M12" s="160" t="n">
        <x:v>0</x:v>
      </x:c>
      <x:c r="N12" s="160" t="n">
        <x:v>0</x:v>
      </x:c>
      <x:c r="O12" s="160"/>
      <x:c r="P12" s="160"/>
      <x:c r="Q12" s="160"/>
      <x:c r="R12" s="160"/>
      <x:c r="S12" s="160"/>
      <x:c r="T12" s="160"/>
      <x:c r="U12" s="161"/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49" t="str">
        <x:v>历史证据快照 | 成长评分规则 | 已废止定位，不驱动新内容</x:v>
      </x:c>
      <x:c r="B1" s="149"/>
      <x:c r="C1" s="149"/>
      <x:c r="D1" s="149"/>
      <x:c r="E1" s="149"/>
      <x:c r="F1" s="149"/>
      <x:c r="G1" s="149"/>
      <x:c r="H1" s="149"/>
    </x:row>
    <x:row r="2">
      <x:c r="A2" s="152" t="str">
        <x:v>仅保留历史发布、评分与复盘证据；原30天路线和每日目标未迁入新工作簿。</x:v>
      </x:c>
      <x:c r="B2" s="152"/>
      <x:c r="C2" s="152"/>
      <x:c r="D2" s="152"/>
      <x:c r="E2" s="152"/>
      <x:c r="F2" s="152"/>
      <x:c r="G2" s="152"/>
      <x:c r="H2" s="152"/>
    </x:row>
    <x:row r="4" ht="24" customHeight="1">
      <x:c r="A4" s="165" t="str">
        <x:v>成长型选题评分规则</x:v>
      </x:c>
      <x:c r="B4" s="166" t="str">
        <x:v>成长型选题评分规则</x:v>
      </x:c>
      <x:c r="C4" s="166" t="str">
        <x:v>成长型选题评分规则</x:v>
      </x:c>
      <x:c r="D4" s="166" t="str">
        <x:v>成长型选题评分规则</x:v>
      </x:c>
      <x:c r="E4" s="167" t="str">
        <x:v>成长型选题评分规则</x:v>
      </x:c>
    </x:row>
    <x:row r="5" ht="24" customHeight="1">
      <x:c r="A5" s="156"/>
      <x:c r="B5" s="157"/>
      <x:c r="C5" s="157"/>
      <x:c r="D5" s="157"/>
      <x:c r="E5" s="158"/>
    </x:row>
    <x:row r="6" ht="24" customHeight="1">
      <x:c r="A6" s="156" t="str">
        <x:v>维度</x:v>
      </x:c>
      <x:c r="B6" s="157" t="str">
        <x:v>权重</x:v>
      </x:c>
      <x:c r="C6" s="157" t="str">
        <x:v>1—3分</x:v>
      </x:c>
      <x:c r="D6" s="157" t="str">
        <x:v>4—7分</x:v>
      </x:c>
      <x:c r="E6" s="158" t="str">
        <x:v>8—10分</x:v>
      </x:c>
    </x:row>
    <x:row r="7" ht="24" customHeight="1">
      <x:c r="A7" s="156" t="str">
        <x:v>真实性和证据充分度</x:v>
      </x:c>
      <x:c r="B7" s="157" t="n">
        <x:v>18</x:v>
      </x:c>
      <x:c r="C7" s="157" t="str">
        <x:v>无法证明或只是计划</x:v>
      </x:c>
      <x:c r="D7" s="157" t="str">
        <x:v>有过程记录但结果弱</x:v>
      </x:c>
      <x:c r="E7" s="158" t="str">
        <x:v>有直接证据且可公开</x:v>
      </x:c>
    </x:row>
    <x:row r="8" ht="24" customHeight="1">
      <x:c r="A8" s="156" t="str">
        <x:v>30天主线连续性</x:v>
      </x:c>
      <x:c r="B8" s="157" t="n">
        <x:v>12</x:v>
      </x:c>
      <x:c r="C8" s="157" t="str">
        <x:v>与路线无关</x:v>
      </x:c>
      <x:c r="D8" s="157" t="str">
        <x:v>能解释本周任务</x:v>
      </x:c>
      <x:c r="E8" s="158" t="str">
        <x:v>承接昨日并留下明日挑战</x:v>
      </x:c>
    </x:row>
    <x:row r="9" ht="24" customHeight="1">
      <x:c r="A9" s="156" t="str">
        <x:v>普通观众实用价值</x:v>
      </x:c>
      <x:c r="B9" s="157" t="n">
        <x:v>14</x:v>
      </x:c>
      <x:c r="C9" s="157" t="str">
        <x:v>只有个人流水账</x:v>
      </x:c>
      <x:c r="D9" s="157" t="str">
        <x:v>有信息但难复用</x:v>
      </x:c>
      <x:c r="E9" s="158" t="str">
        <x:v>有明确可带走方法</x:v>
      </x:c>
    </x:row>
    <x:row r="10" ht="24" customHeight="1">
      <x:c r="A10" s="156" t="str">
        <x:v>变化/冲突/失败/结果</x:v>
      </x:c>
      <x:c r="B10" s="157" t="n">
        <x:v>13</x:v>
      </x:c>
      <x:c r="C10" s="157" t="str">
        <x:v>没有变化</x:v>
      </x:c>
      <x:c r="D10" s="157" t="str">
        <x:v>有过程或轻微差异</x:v>
      </x:c>
      <x:c r="E10" s="158" t="str">
        <x:v>冲突清楚且结果具体</x:v>
      </x:c>
    </x:row>
    <x:row r="11" ht="24" customHeight="1">
      <x:c r="A11" s="156" t="str">
        <x:v>画面展示</x:v>
      </x:c>
      <x:c r="B11" s="157" t="n">
        <x:v>10</x:v>
      </x:c>
      <x:c r="C11" s="157" t="str">
        <x:v>无可用画面</x:v>
      </x:c>
      <x:c r="D11" s="157" t="str">
        <x:v>能做示意图</x:v>
      </x:c>
      <x:c r="E11" s="158" t="str">
        <x:v>有文件/功能/前后对比</x:v>
      </x:c>
    </x:row>
    <x:row r="12" ht="24" customHeight="1">
      <x:c r="A12" s="156" t="str">
        <x:v>讲成人话</x:v>
      </x:c>
      <x:c r="B12" s="157" t="n">
        <x:v>9</x:v>
      </x:c>
      <x:c r="C12" s="157" t="str">
        <x:v>概念堆砌</x:v>
      </x:c>
      <x:c r="D12" s="157" t="str">
        <x:v>基本听懂</x:v>
      </x:c>
      <x:c r="E12" s="158" t="str">
        <x:v>一句话能说明问题</x:v>
      </x:c>
    </x:row>
    <x:row r="13" ht="24" customHeight="1">
      <x:c r="A13" s="156" t="str">
        <x:v>共鸣或讨论</x:v>
      </x:c>
      <x:c r="B13" s="157" t="n">
        <x:v>8</x:v>
      </x:c>
      <x:c r="C13" s="157" t="str">
        <x:v>观众无从回答</x:v>
      </x:c>
      <x:c r="D13" s="157" t="str">
        <x:v>有泛问题</x:v>
      </x:c>
      <x:c r="E13" s="158" t="str">
        <x:v>观众可用自身经验回答</x:v>
      </x:c>
    </x:row>
    <x:row r="14" ht="24" customHeight="1">
      <x:c r="A14" s="156" t="str">
        <x:v>明日悬念</x:v>
      </x:c>
      <x:c r="B14" s="157" t="n">
        <x:v>7</x:v>
      </x:c>
      <x:c r="C14" s="157" t="str">
        <x:v>内容当天结束</x:v>
      </x:c>
      <x:c r="D14" s="157" t="str">
        <x:v>有模糊下一步</x:v>
      </x:c>
      <x:c r="E14" s="158" t="str">
        <x:v>明天挑战具体可验证</x:v>
      </x:c>
    </x:row>
    <x:row r="15" ht="24" customHeight="1">
      <x:c r="A15" s="156" t="str">
        <x:v>当天制作可行性</x:v>
      </x:c>
      <x:c r="B15" s="157" t="n">
        <x:v>9</x:v>
      </x:c>
      <x:c r="C15" s="157" t="str">
        <x:v>证据/拍摄无法取得</x:v>
      </x:c>
      <x:c r="D15" s="157" t="str">
        <x:v>需较多补充</x:v>
      </x:c>
      <x:c r="E15" s="158" t="str">
        <x:v>当天能安全完成</x:v>
      </x:c>
    </x:row>
    <x:row r="16" ht="24" customHeight="1">
      <x:c r="A16" s="156" t="str">
        <x:v>风险（不计正向权重）</x:v>
      </x:c>
      <x:c r="B16" s="157" t="n">
        <x:v>0</x:v>
      </x:c>
      <x:c r="C16" s="157" t="str">
        <x:v>1—3低风险</x:v>
      </x:c>
      <x:c r="D16" s="157" t="str">
        <x:v>4—5加强审核</x:v>
      </x:c>
      <x:c r="E16" s="158" t="str">
        <x:v>6—10通常不做主选</x:v>
      </x:c>
    </x:row>
    <x:row r="17" ht="24" customHeight="1">
      <x:c r="A17" s="156"/>
      <x:c r="B17" s="157"/>
      <x:c r="C17" s="157"/>
      <x:c r="D17" s="157"/>
      <x:c r="E17" s="158"/>
    </x:row>
    <x:row r="18" ht="24" customHeight="1">
      <x:c r="A18" s="156" t="str">
        <x:v>公式：正向分=Σ(九个正向维度×权重)÷10；风险扣分=max(0,风险-3)×3；推荐指数=正向分-风险扣分。</x:v>
      </x:c>
      <x:c r="B18" s="157"/>
      <x:c r="C18" s="157"/>
      <x:c r="D18" s="157"/>
      <x:c r="E18" s="158"/>
    </x:row>
    <x:row r="19" ht="24" customHeight="1">
      <x:c r="A19" s="156"/>
      <x:c r="B19" s="157"/>
      <x:c r="C19" s="157"/>
      <x:c r="D19" s="157"/>
      <x:c r="E19" s="158"/>
    </x:row>
    <x:row r="20" ht="24" customHeight="1">
      <x:c r="A20" s="156" t="str">
        <x:v>硬门槛</x:v>
      </x:c>
      <x:c r="B20" s="157" t="str">
        <x:v>要求</x:v>
      </x:c>
      <x:c r="C20" s="157"/>
      <x:c r="D20" s="157"/>
      <x:c r="E20" s="158"/>
    </x:row>
    <x:row r="21" ht="24" customHeight="1">
      <x:c r="A21" s="156" t="str">
        <x:v>真实证据</x:v>
      </x:c>
      <x:c r="B21" s="157" t="str">
        <x:v>真实性≥8，至少一个可公开直接结果</x:v>
      </x:c>
      <x:c r="C21" s="157"/>
      <x:c r="D21" s="157"/>
      <x:c r="E21" s="158"/>
    </x:row>
    <x:row r="22" ht="24" customHeight="1">
      <x:c r="A22" s="156" t="str">
        <x:v>内容价值</x:v>
      </x:c>
      <x:c r="B22" s="157" t="str">
        <x:v>必须有观众收益、主线连续和明日挑战</x:v>
      </x:c>
      <x:c r="C22" s="157"/>
      <x:c r="D22" s="157"/>
      <x:c r="E22" s="158"/>
    </x:row>
    <x:row r="23" ht="24" customHeight="1">
      <x:c r="A23" s="159" t="str">
        <x:v>禁止主选</x:v>
      </x:c>
      <x:c r="B23" s="160" t="str">
        <x:v>只有学习流水账、证据缺失或风险&gt;5</x:v>
      </x:c>
      <x:c r="C23" s="160"/>
      <x:c r="D23" s="160"/>
      <x:c r="E23" s="161"/>
    </x:row>
  </x:sheetData>
  <x:mergeCells>
    <x:mergeCell ref="A1:H1"/>
    <x:mergeCell ref="A2:H2"/>
  </x:mergeCells>
  <x:pageMargins left="0.7" right="0.7" top="0.75" bottom="0.75" header="0.3" footer="0.3"/>
</x:worksheet>
</file>