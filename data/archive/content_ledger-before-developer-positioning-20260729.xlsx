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4c54aabde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870aa89f7ceb46af"/>
    <x:sheet xmlns:r="http://schemas.openxmlformats.org/officeDocument/2006/relationships" name="内容台账" sheetId="2" r:id="R3ecdebdb97dc463e"/>
    <x:sheet xmlns:r="http://schemas.openxmlformats.org/officeDocument/2006/relationships" name="候选评分" sheetId="3" r:id="R7fdf9ef60d73498e"/>
    <x:sheet xmlns:r="http://schemas.openxmlformats.org/officeDocument/2006/relationships" name="每周复盘" sheetId="4" r:id="R51d8d3ccefad4ed7"/>
    <x:sheet xmlns:r="http://schemas.openxmlformats.org/officeDocument/2006/relationships" name="评分规则" sheetId="5" r:id="R5050df19c5dc46a1"/>
    <x:sheet xmlns:r="http://schemas.openxmlformats.org/officeDocument/2006/relationships" name="成长内容台账" sheetId="6" r:id="R40ffedac093849de"/>
    <x:sheet xmlns:r="http://schemas.openxmlformats.org/officeDocument/2006/relationships" name="成长选题评分" sheetId="7" r:id="Rfae6d35a22314520"/>
    <x:sheet xmlns:r="http://schemas.openxmlformats.org/officeDocument/2006/relationships" name="创作者档案" sheetId="8" r:id="R44dc7d7dfdd64e36"/>
    <x:sheet xmlns:r="http://schemas.openxmlformats.org/officeDocument/2006/relationships" name="30天成长路线" sheetId="9" r:id="R711b79e5814747f4"/>
    <x:sheet xmlns:r="http://schemas.openxmlformats.org/officeDocument/2006/relationships" name="双重复盘" sheetId="10" r:id="R8a1b77ab797844f5"/>
    <x:sheet xmlns:r="http://schemas.openxmlformats.org/officeDocument/2006/relationships" name="成长评分规则" sheetId="11" r:id="Ra54f52487071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"/>
    <x:numFmt numFmtId="203" formatCode="yyyy-mm-dd"/>
    <x:numFmt numFmtId="204" formatCode="#,##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746"/>
      <x:name val="Carlito"/>
    </x:font>
    <x:font>
      <x:b/>
      <x:sz val="11"/>
      <x:color rgb="FFFFFFFF"/>
      <x:name val="Carlito"/>
    </x:font>
    <x:font>
      <x:b/>
      <x:sz val="22"/>
      <x:color rgb="FF17324D"/>
      <x:name val="Carlito"/>
    </x:font>
    <x:font>
      <x:b/>
      <x:sz val="20"/>
      <x:color rgb="FF1F7A78"/>
      <x:name val="Carlito"/>
    </x:font>
    <x:font>
      <x:b/>
      <x:sz val="11"/>
      <x:color rgb="FF243746"/>
      <x:name val="Carlito"/>
    </x:font>
    <x:font>
      <x:b/>
      <x:sz val="18"/>
      <x:color rgb="FFFFFFFF"/>
      <x:name val="Microsoft YaHei"/>
    </x:font>
    <x:font>
      <x:i/>
      <x:sz val="11"/>
      <x:color rgb="FF243746"/>
      <x:name val="Microsoft YaHei"/>
    </x:font>
    <x:font>
      <x:b/>
      <x:sz val="11"/>
      <x:color rgb="FFFFFFFF"/>
      <x:name val="Microsoft YaHei"/>
    </x:font>
    <x:font>
      <x:b/>
      <x:sz val="22"/>
      <x:color rgb="FF17324D"/>
      <x:name val="Microsoft YaHei"/>
    </x:font>
    <x:font>
      <x:sz val="11"/>
      <x:name val="Microsoft YaHei"/>
    </x:font>
    <x:font>
      <x:b/>
      <x:sz val="20"/>
      <x:color rgb="FF1F7A78"/>
      <x:name val="Microsoft YaHei"/>
    </x:font>
    <x:font>
      <x:b/>
      <x:sz val="11"/>
      <x:color rgb="FF243746"/>
      <x:name val="Microsoft YaHei"/>
    </x:font>
    <x:font>
      <x:sz val="11"/>
      <x:color rgb="FF243746"/>
      <x:name val="Carlito"/>
    </x:font>
    <x:font>
      <x:b/>
      <x:sz val="10"/>
      <x:color rgb="FFFFFFFF"/>
      <x:name val="Microsoft YaHei"/>
    </x:font>
    <x:font>
      <x:sz val="10"/>
      <x:color rgb="FF243746"/>
      <x:name val="Microsoft YaHei"/>
    </x:font>
    <x:font>
      <x:sz val="10"/>
      <x:name val="Microsoft YaHei"/>
    </x:font>
    <x:font>
      <x:b/>
      <x:sz val="11"/>
      <x:name val="Carlito"/>
    </x:font>
    <x:font>
      <x:b/>
      <x:sz val="10"/>
      <x:color rgb="FF243746"/>
      <x:name val="Microsoft YaHei"/>
    </x:font>
    <x:font>
      <x:b/>
      <x:sz val="10"/>
      <x:name val="Microsoft YaHei"/>
    </x:font>
    <x:font>
      <x:sz val="11"/>
      <x:color rgb="FF243746"/>
      <x:name val="Microsoft YaHei"/>
    </x:font>
    <x:font>
      <x:b/>
      <x:sz val="11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DFF3E4"/>
      </x:patternFill>
    </x:fill>
    <x:fill>
      <x:patternFill patternType="solid">
        <x:fgColor rgb="FFFFF3CD"/>
      </x:patternFill>
    </x:fill>
    <x:fill>
      <x:patternFill patternType="solid">
        <x:fgColor rgb="FF1F7A78"/>
      </x:patternFill>
    </x:fill>
    <x:fill>
      <x:patternFill patternType="solid">
        <x:fgColor rgb="FFEEF8F7"/>
      </x:patternFill>
    </x:fill>
    <x:fill>
      <x:patternFill patternType="solid">
        <x:fgColor rgb="FF2F6B9A"/>
      </x:patternFill>
    </x:fill>
    <x:fill>
      <x:patternFill patternType="solid">
        <x:fgColor rgb="FFF3F5F7"/>
      </x:patternFill>
    </x:fill>
    <x:fill>
      <x:patternFill patternType="solid">
        <x:fgColor rgb="FFFFFDF2"/>
      </x:patternFill>
    </x:fill>
    <x:fill>
      <x:patternFill patternType="solid">
        <x:fgColor rgb="FF17324D"/>
      </x:patternFill>
    </x:fill>
    <x:fill>
      <x:patternFill patternType="solid">
        <x:fgColor rgb="FFFFF3CD"/>
      </x:patternFill>
    </x:fill>
    <x:fill>
      <x:patternFill patternType="solid">
        <x:fgColor rgb="FF2F6B9A"/>
      </x:patternFill>
    </x:fill>
    <x:fill>
      <x:patternFill patternType="solid">
        <x:fgColor rgb="FFFFFDF2"/>
      </x:patternFill>
    </x:fill>
    <x:fill>
      <x:patternFill patternType="solid">
        <x:fgColor rgb="FFEAF3F8"/>
      </x:patternFill>
    </x:fill>
    <x:fill>
      <x:patternFill patternType="solid">
        <x:fgColor rgb="FFF3F5F7"/>
      </x:patternFill>
    </x:fill>
  </x:fills>
  <x:borders count="9">
    <x:border/>
    <x:border>
      <x:left style="thin">
        <x:color rgb="FFD8E0E7"/>
      </x:left>
      <x:top style="thin">
        <x:color rgb="FFD8E0E7"/>
      </x:top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bottom style="thin">
        <x:color rgb="FFD8E0E7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</x:borders>
  <x:cellStyleXfs count="1">
    <x:xf numFmtId="0" fontId="0" fillId="0" borderId="0"/>
  </x:cellStyleXfs>
  <x:cellXfs count="3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1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201" fontId="5" fillId="7" borderId="1" xfId="0" applyNumberFormat="1" applyFont="1" applyFill="1" applyBorder="1"/>
    <x:xf numFmtId="201" fontId="5" fillId="7" borderId="2" xfId="0" applyNumberFormat="1" applyFont="1" applyFill="1" applyBorder="1"/>
    <x:xf numFmtId="201" fontId="5" fillId="7" borderId="3" xfId="0" applyNumberFormat="1" applyFont="1" applyFill="1" applyBorder="1"/>
    <x:xf numFmtId="201" fontId="5" fillId="7" borderId="4" xfId="0" applyNumberFormat="1" applyFont="1" applyFill="1" applyBorder="1"/>
    <x:xf numFmtId="201" fontId="5" fillId="7" borderId="1" xfId="0" applyNumberFormat="1" applyFont="1" applyFill="1" applyBorder="1" applyAlignment="1">
      <x:alignment horizontal="center"/>
    </x:xf>
    <x:xf numFmtId="201" fontId="5" fillId="7" borderId="2" xfId="0" applyNumberFormat="1" applyFont="1" applyFill="1" applyBorder="1" applyAlignment="1">
      <x:alignment horizontal="center"/>
    </x:xf>
    <x:xf numFmtId="201" fontId="5" fillId="7" borderId="3" xfId="0" applyNumberFormat="1" applyFont="1" applyFill="1" applyBorder="1" applyAlignment="1">
      <x:alignment horizontal="center"/>
    </x:xf>
    <x:xf numFmtId="201" fontId="5" fillId="7" borderId="4" xfId="0" applyNumberFormat="1" applyFont="1" applyFill="1" applyBorder="1" applyAlignment="1">
      <x:alignment horizontal="center"/>
    </x:xf>
    <x:xf numFmtId="201" fontId="5" fillId="7" borderId="1" xfId="0" applyNumberFormat="1" applyFont="1" applyFill="1" applyBorder="1" applyAlignment="1">
      <x:alignment horizontal="center" vertical="center"/>
    </x:xf>
    <x:xf numFmtId="201" fontId="5" fillId="7" borderId="2" xfId="0" applyNumberFormat="1" applyFont="1" applyFill="1" applyBorder="1" applyAlignment="1">
      <x:alignment horizontal="center" vertical="center"/>
    </x:xf>
    <x:xf numFmtId="201" fontId="5" fillId="7" borderId="3" xfId="0" applyNumberFormat="1" applyFont="1" applyFill="1" applyBorder="1" applyAlignment="1">
      <x:alignment horizontal="center" vertical="center"/>
    </x:xf>
    <x:xf numFmtId="201" fontId="5" fillId="7" borderId="4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/>
    <x:xf numFmtId="202" fontId="5" fillId="7" borderId="2" xfId="0" applyNumberFormat="1" applyFont="1" applyFill="1" applyBorder="1"/>
    <x:xf numFmtId="202" fontId="5" fillId="7" borderId="3" xfId="0" applyNumberFormat="1" applyFont="1" applyFill="1" applyBorder="1"/>
    <x:xf numFmtId="202" fontId="5" fillId="7" borderId="4" xfId="0" applyNumberFormat="1" applyFont="1" applyFill="1" applyBorder="1"/>
    <x:xf numFmtId="202" fontId="5" fillId="7" borderId="1" xfId="0" applyNumberFormat="1" applyFont="1" applyFill="1" applyBorder="1" applyAlignment="1">
      <x:alignment horizontal="center"/>
    </x:xf>
    <x:xf numFmtId="202" fontId="5" fillId="7" borderId="2" xfId="0" applyNumberFormat="1" applyFont="1" applyFill="1" applyBorder="1" applyAlignment="1">
      <x:alignment horizontal="center"/>
    </x:xf>
    <x:xf numFmtId="202" fontId="5" fillId="7" borderId="3" xfId="0" applyNumberFormat="1" applyFont="1" applyFill="1" applyBorder="1" applyAlignment="1">
      <x:alignment horizontal="center"/>
    </x:xf>
    <x:xf numFmtId="202" fontId="5" fillId="7" borderId="4" xfId="0" applyNumberFormat="1" applyFont="1" applyFill="1" applyBorder="1" applyAlignment="1">
      <x:alignment horizontal="center"/>
    </x:xf>
    <x:xf numFmtId="202" fontId="5" fillId="7" borderId="1" xfId="0" applyNumberFormat="1" applyFont="1" applyFill="1" applyBorder="1" applyAlignment="1">
      <x:alignment horizontal="center" vertical="center"/>
    </x:xf>
    <x:xf numFmtId="202" fontId="5" fillId="7" borderId="2" xfId="0" applyNumberFormat="1" applyFont="1" applyFill="1" applyBorder="1" applyAlignment="1">
      <x:alignment horizontal="center" vertical="center"/>
    </x:xf>
    <x:xf numFmtId="202" fontId="5" fillId="7" borderId="3" xfId="0" applyNumberFormat="1" applyFont="1" applyFill="1" applyBorder="1" applyAlignment="1">
      <x:alignment horizontal="center" vertical="center"/>
    </x:xf>
    <x:xf numFmtId="202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9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200" fontId="10" fillId="4" borderId="1" xfId="0" applyNumberFormat="1" applyFont="1" applyFill="1" applyBorder="1" applyAlignment="1">
      <x:alignment horizontal="center" vertical="center"/>
    </x:xf>
    <x:xf numFmtId="200" fontId="10" fillId="4" borderId="2" xfId="0" applyNumberFormat="1" applyFont="1" applyFill="1" applyBorder="1" applyAlignment="1">
      <x:alignment horizontal="center" vertical="center"/>
    </x:xf>
    <x:xf numFmtId="200" fontId="10" fillId="5" borderId="1" xfId="0" applyNumberFormat="1" applyFont="1" applyFill="1" applyBorder="1" applyAlignment="1">
      <x:alignment horizontal="center" vertical="center"/>
    </x:xf>
    <x:xf numFmtId="200" fontId="10" fillId="5" borderId="2" xfId="0" applyNumberFormat="1" applyFont="1" applyFill="1" applyBorder="1" applyAlignment="1">
      <x:alignment horizontal="center" vertical="center"/>
    </x:xf>
    <x:xf numFmtId="200" fontId="10" fillId="3" borderId="1" xfId="0" applyNumberFormat="1" applyFont="1" applyFill="1" applyBorder="1" applyAlignment="1">
      <x:alignment horizontal="center" vertical="center"/>
    </x:xf>
    <x:xf numFmtId="200" fontId="10" fillId="3" borderId="2" xfId="0" applyNumberFormat="1" applyFont="1" applyFill="1" applyBorder="1" applyAlignment="1">
      <x:alignment horizontal="center" vertical="center"/>
    </x:xf>
    <x:xf numFmtId="200" fontId="10" fillId="4" borderId="3" xfId="0" applyNumberFormat="1" applyFont="1" applyFill="1" applyBorder="1" applyAlignment="1">
      <x:alignment horizontal="center" vertical="center"/>
    </x:xf>
    <x:xf numFmtId="200" fontId="10" fillId="4" borderId="4" xfId="0" applyNumberFormat="1" applyFont="1" applyFill="1" applyBorder="1" applyAlignment="1">
      <x:alignment horizontal="center" vertical="center"/>
    </x:xf>
    <x:xf numFmtId="200" fontId="10" fillId="5" borderId="3" xfId="0" applyNumberFormat="1" applyFont="1" applyFill="1" applyBorder="1" applyAlignment="1">
      <x:alignment horizontal="center" vertical="center"/>
    </x:xf>
    <x:xf numFmtId="200" fontId="10" fillId="5" borderId="4" xfId="0" applyNumberFormat="1" applyFont="1" applyFill="1" applyBorder="1" applyAlignment="1">
      <x:alignment horizontal="center" vertical="center"/>
    </x:xf>
    <x:xf numFmtId="200" fontId="10" fillId="3" borderId="3" xfId="0" applyNumberFormat="1" applyFont="1" applyFill="1" applyBorder="1" applyAlignment="1">
      <x:alignment horizontal="center" vertical="center"/>
    </x:xf>
    <x:xf numFmtId="200" fontId="10" fillId="3" borderId="4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 vertical="center"/>
    </x:xf>
    <x:xf numFmtId="201" fontId="12" fillId="7" borderId="1" xfId="0" applyNumberFormat="1" applyFont="1" applyFill="1" applyBorder="1" applyAlignment="1">
      <x:alignment horizontal="center" vertical="center"/>
    </x:xf>
    <x:xf numFmtId="201" fontId="12" fillId="7" borderId="2" xfId="0" applyNumberFormat="1" applyFont="1" applyFill="1" applyBorder="1" applyAlignment="1">
      <x:alignment horizontal="center" vertical="center"/>
    </x:xf>
    <x:xf numFmtId="202" fontId="12" fillId="7" borderId="1" xfId="0" applyNumberFormat="1" applyFont="1" applyFill="1" applyBorder="1" applyAlignment="1">
      <x:alignment horizontal="center" vertical="center"/>
    </x:xf>
    <x:xf numFmtId="202" fontId="12" fillId="7" borderId="2" xfId="0" applyNumberFormat="1" applyFont="1" applyFill="1" applyBorder="1" applyAlignment="1">
      <x:alignment horizontal="center" vertical="center"/>
    </x:xf>
    <x:xf numFmtId="201" fontId="12" fillId="7" borderId="3" xfId="0" applyNumberFormat="1" applyFont="1" applyFill="1" applyBorder="1" applyAlignment="1">
      <x:alignment horizontal="center" vertical="center"/>
    </x:xf>
    <x:xf numFmtId="201" fontId="12" fillId="7" borderId="4" xfId="0" applyNumberFormat="1" applyFont="1" applyFill="1" applyBorder="1" applyAlignment="1">
      <x:alignment horizontal="center" vertical="center"/>
    </x:xf>
    <x:xf numFmtId="202" fontId="12" fillId="7" borderId="3" xfId="0" applyNumberFormat="1" applyFont="1" applyFill="1" applyBorder="1" applyAlignment="1">
      <x:alignment horizontal="center" vertical="center"/>
    </x:xf>
    <x:xf numFmtId="202" fontId="12" fillId="7" borderId="4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13" fillId="9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 wrapText="1"/>
    </x:xf>
    <x:xf numFmtId="0" fontId="13" fillId="9" borderId="6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200" fontId="10" fillId="4" borderId="1" xfId="0" applyNumberFormat="1" applyFont="1" applyFill="1" applyBorder="1" applyAlignment="1">
      <x:alignment horizontal="center" vertical="center" wrapText="1"/>
    </x:xf>
    <x:xf numFmtId="200" fontId="10" fillId="4" borderId="2" xfId="0" applyNumberFormat="1" applyFont="1" applyFill="1" applyBorder="1" applyAlignment="1">
      <x:alignment horizontal="center" vertical="center" wrapText="1"/>
    </x:xf>
    <x:xf numFmtId="200" fontId="10" fillId="5" borderId="1" xfId="0" applyNumberFormat="1" applyFont="1" applyFill="1" applyBorder="1" applyAlignment="1">
      <x:alignment horizontal="center" vertical="center" wrapText="1"/>
    </x:xf>
    <x:xf numFmtId="200" fontId="10" fillId="5" borderId="2" xfId="0" applyNumberFormat="1" applyFont="1" applyFill="1" applyBorder="1" applyAlignment="1">
      <x:alignment horizontal="center" vertical="center" wrapText="1"/>
    </x:xf>
    <x:xf numFmtId="200" fontId="10" fillId="3" borderId="1" xfId="0" applyNumberFormat="1" applyFont="1" applyFill="1" applyBorder="1" applyAlignment="1">
      <x:alignment horizontal="center" vertical="center" wrapText="1"/>
    </x:xf>
    <x:xf numFmtId="200" fontId="10" fillId="3" borderId="2" xfId="0" applyNumberFormat="1" applyFont="1" applyFill="1" applyBorder="1" applyAlignment="1">
      <x:alignment horizontal="center" vertical="center" wrapText="1"/>
    </x:xf>
    <x:xf numFmtId="200" fontId="10" fillId="4" borderId="3" xfId="0" applyNumberFormat="1" applyFont="1" applyFill="1" applyBorder="1" applyAlignment="1">
      <x:alignment horizontal="center" vertical="center" wrapText="1"/>
    </x:xf>
    <x:xf numFmtId="200" fontId="10" fillId="4" borderId="4" xfId="0" applyNumberFormat="1" applyFont="1" applyFill="1" applyBorder="1" applyAlignment="1">
      <x:alignment horizontal="center" vertical="center" wrapText="1"/>
    </x:xf>
    <x:xf numFmtId="200" fontId="10" fillId="5" borderId="3" xfId="0" applyNumberFormat="1" applyFont="1" applyFill="1" applyBorder="1" applyAlignment="1">
      <x:alignment horizontal="center" vertical="center" wrapText="1"/>
    </x:xf>
    <x:xf numFmtId="200" fontId="10" fillId="5" borderId="4" xfId="0" applyNumberFormat="1" applyFont="1" applyFill="1" applyBorder="1" applyAlignment="1">
      <x:alignment horizontal="center" vertical="center" wrapText="1"/>
    </x:xf>
    <x:xf numFmtId="200" fontId="10" fillId="3" borderId="3" xfId="0" applyNumberFormat="1" applyFont="1" applyFill="1" applyBorder="1" applyAlignment="1">
      <x:alignment horizontal="center" vertical="center" wrapText="1"/>
    </x:xf>
    <x:xf numFmtId="200" fontId="10" fillId="3" borderId="4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201" fontId="12" fillId="7" borderId="1" xfId="0" applyNumberFormat="1" applyFont="1" applyFill="1" applyBorder="1" applyAlignment="1">
      <x:alignment horizontal="center" vertical="center" wrapText="1"/>
    </x:xf>
    <x:xf numFmtId="201" fontId="12" fillId="7" borderId="2" xfId="0" applyNumberFormat="1" applyFont="1" applyFill="1" applyBorder="1" applyAlignment="1">
      <x:alignment horizontal="center" vertical="center" wrapText="1"/>
    </x:xf>
    <x:xf numFmtId="202" fontId="12" fillId="7" borderId="1" xfId="0" applyNumberFormat="1" applyFont="1" applyFill="1" applyBorder="1" applyAlignment="1">
      <x:alignment horizontal="center" vertical="center" wrapText="1"/>
    </x:xf>
    <x:xf numFmtId="202" fontId="12" fillId="7" borderId="2" xfId="0" applyNumberFormat="1" applyFont="1" applyFill="1" applyBorder="1" applyAlignment="1">
      <x:alignment horizontal="center" vertical="center" wrapText="1"/>
    </x:xf>
    <x:xf numFmtId="201" fontId="12" fillId="7" borderId="3" xfId="0" applyNumberFormat="1" applyFont="1" applyFill="1" applyBorder="1" applyAlignment="1">
      <x:alignment horizontal="center" vertical="center" wrapText="1"/>
    </x:xf>
    <x:xf numFmtId="201" fontId="12" fillId="7" borderId="4" xfId="0" applyNumberFormat="1" applyFont="1" applyFill="1" applyBorder="1" applyAlignment="1">
      <x:alignment horizontal="center" vertical="center" wrapText="1"/>
    </x:xf>
    <x:xf numFmtId="202" fontId="12" fillId="7" borderId="3" xfId="0" applyNumberFormat="1" applyFont="1" applyFill="1" applyBorder="1" applyAlignment="1">
      <x:alignment horizontal="center" vertical="center" wrapText="1"/>
    </x:xf>
    <x:xf numFmtId="202" fontId="12" fillId="7" borderId="4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3" fillId="9" borderId="5" xfId="0" applyNumberFormat="1" applyFont="1" applyFill="1" applyBorder="1" applyAlignment="1">
      <x:alignment vertical="center" wrapText="1"/>
    </x:xf>
    <x:xf numFmtId="0" fontId="13" fillId="9" borderId="6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3" fillId="8" borderId="7" xfId="0" applyNumberFormat="1" applyFont="1" applyFill="1" applyBorder="1"/>
    <x:xf numFmtId="0" fontId="3" fillId="8" borderId="6" xfId="0" applyNumberFormat="1" applyFont="1" applyFill="1" applyBorder="1"/>
    <x:xf numFmtId="0" fontId="3" fillId="8" borderId="8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6" xfId="0" applyNumberFormat="1" applyFont="1" applyFill="1" applyBorder="1" applyAlignment="1">
      <x:alignment horizontal="center" wrapText="1"/>
    </x:xf>
    <x:xf numFmtId="0" fontId="3" fillId="8" borderId="8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3" fillId="8" borderId="8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4" fontId="0" fillId="10" borderId="5" xfId="0" applyNumberFormat="1" applyFont="1" applyFill="1" applyBorder="1" applyAlignment="1">
      <x:alignment vertical="center" wrapText="1"/>
    </x:xf>
    <x:xf numFmtId="201" fontId="0" fillId="10" borderId="5" xfId="0" applyNumberFormat="1" applyFont="1" applyFill="1" applyBorder="1" applyAlignment="1">
      <x:alignment vertical="center" wrapText="1"/>
    </x:xf>
    <x:xf numFmtId="202" fontId="0" fillId="10" borderId="5" xfId="0" applyNumberFormat="1" applyFont="1" applyFill="1" applyBorder="1" applyAlignment="1">
      <x:alignment vertical="center" wrapText="1"/>
    </x:xf>
    <x:xf numFmtId="204" fontId="0" fillId="10" borderId="6" xfId="0" applyNumberFormat="1" applyFont="1" applyFill="1" applyBorder="1" applyAlignment="1">
      <x:alignment vertical="center" wrapText="1"/>
    </x:xf>
    <x:xf numFmtId="201" fontId="0" fillId="10" borderId="6" xfId="0" applyNumberFormat="1" applyFont="1" applyFill="1" applyBorder="1" applyAlignment="1">
      <x:alignment vertical="center" wrapText="1"/>
    </x:xf>
    <x:xf numFmtId="202" fontId="0" fillId="10" borderId="6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6" fillId="5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5" fillId="8" borderId="7" xfId="0" applyNumberFormat="1" applyFont="1" applyFill="1" applyBorder="1" applyAlignment="1">
      <x:alignment horizontal="center" vertical="center" wrapText="1"/>
    </x:xf>
    <x:xf numFmtId="0" fontId="15" fillId="8" borderId="6" xfId="0" applyNumberFormat="1" applyFont="1" applyFill="1" applyBorder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203" fontId="17" fillId="0" borderId="5" xfId="0" applyNumberFormat="1" applyFont="1" applyFill="1" applyBorder="1" applyAlignment="1">
      <x:alignment vertical="center" wrapText="1"/>
    </x:xf>
    <x:xf numFmtId="0" fontId="17" fillId="0" borderId="5" xfId="0" applyNumberFormat="1" applyFont="1" applyFill="1" applyBorder="1" applyAlignment="1">
      <x:alignment vertical="center" wrapText="1"/>
    </x:xf>
    <x:xf numFmtId="200" fontId="17" fillId="0" borderId="5" xfId="0" applyNumberFormat="1" applyFont="1" applyFill="1" applyBorder="1" applyAlignment="1">
      <x:alignment vertical="center" wrapText="1"/>
    </x:xf>
    <x:xf numFmtId="204" fontId="17" fillId="10" borderId="5" xfId="0" applyNumberFormat="1" applyFont="1" applyFill="1" applyBorder="1" applyAlignment="1">
      <x:alignment vertical="center" wrapText="1"/>
    </x:xf>
    <x:xf numFmtId="201" fontId="17" fillId="10" borderId="5" xfId="0" applyNumberFormat="1" applyFont="1" applyFill="1" applyBorder="1" applyAlignment="1">
      <x:alignment vertical="center" wrapText="1"/>
    </x:xf>
    <x:xf numFmtId="202" fontId="17" fillId="10" borderId="5" xfId="0" applyNumberFormat="1" applyFont="1" applyFill="1" applyBorder="1" applyAlignment="1">
      <x:alignment vertical="center" wrapText="1"/>
    </x:xf>
    <x:xf numFmtId="203" fontId="17" fillId="0" borderId="6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200" fontId="17" fillId="0" borderId="6" xfId="0" applyNumberFormat="1" applyFont="1" applyFill="1" applyBorder="1" applyAlignment="1">
      <x:alignment vertical="center" wrapText="1"/>
    </x:xf>
    <x:xf numFmtId="204" fontId="17" fillId="10" borderId="6" xfId="0" applyNumberFormat="1" applyFont="1" applyFill="1" applyBorder="1" applyAlignment="1">
      <x:alignment vertical="center" wrapText="1"/>
    </x:xf>
    <x:xf numFmtId="201" fontId="17" fillId="10" borderId="6" xfId="0" applyNumberFormat="1" applyFont="1" applyFill="1" applyBorder="1" applyAlignment="1">
      <x:alignment vertical="center" wrapText="1"/>
    </x:xf>
    <x:xf numFmtId="202" fontId="17" fillId="10" borderId="6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wrapText="1"/>
    </x:xf>
    <x:xf numFmtId="202" fontId="17" fillId="0" borderId="5" xfId="0" applyNumberFormat="1" applyFont="1" applyFill="1" applyBorder="1" applyAlignment="1">
      <x:alignment vertical="center" wrapText="1"/>
    </x:xf>
    <x:xf numFmtId="202" fontId="17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17" fillId="5" borderId="0" xfId="0" applyNumberFormat="1" applyFont="1" applyFill="1" applyBorder="1" applyAlignment="1">
      <x:alignment wrapText="1"/>
    </x:xf>
    <x:xf numFmtId="201" fontId="17" fillId="0" borderId="5" xfId="0" applyNumberFormat="1" applyFont="1" applyFill="1" applyBorder="1" applyAlignment="1">
      <x:alignment vertical="center" wrapText="1"/>
    </x:xf>
    <x:xf numFmtId="204" fontId="17" fillId="0" borderId="5" xfId="0" applyNumberFormat="1" applyFont="1" applyFill="1" applyBorder="1" applyAlignment="1">
      <x:alignment vertical="center" wrapText="1"/>
    </x:xf>
    <x:xf numFmtId="0" fontId="17" fillId="10" borderId="5" xfId="0" applyNumberFormat="1" applyFont="1" applyFill="1" applyBorder="1" applyAlignment="1">
      <x:alignment vertical="center" wrapText="1"/>
    </x:xf>
    <x:xf numFmtId="201" fontId="17" fillId="0" borderId="6" xfId="0" applyNumberFormat="1" applyFont="1" applyFill="1" applyBorder="1" applyAlignment="1">
      <x:alignment vertical="center" wrapText="1"/>
    </x:xf>
    <x:xf numFmtId="204" fontId="17" fillId="0" borderId="6" xfId="0" applyNumberFormat="1" applyFont="1" applyFill="1" applyBorder="1" applyAlignment="1">
      <x:alignment vertical="center" wrapText="1"/>
    </x:xf>
    <x:xf numFmtId="0" fontId="17" fillId="10" borderId="6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/>
    <x:xf numFmtId="0" fontId="3" fillId="6" borderId="5" xfId="0" applyNumberFormat="1" applyFont="1" applyFill="1" applyBorder="1"/>
    <x:xf numFmtId="0" fontId="18" fillId="9" borderId="6" xfId="0" applyNumberFormat="1" applyFont="1" applyFill="1" applyBorder="1"/>
    <x:xf numFmtId="0" fontId="0" fillId="0" borderId="6" xfId="0" applyNumberFormat="1" applyFont="1" applyFill="1" applyBorder="1"/>
    <x:xf numFmtId="0" fontId="3" fillId="6" borderId="5" xfId="0" applyNumberFormat="1" applyFont="1" applyFill="1" applyBorder="1" applyAlignment="1">
      <x:alignment vertical="center"/>
    </x:xf>
    <x:xf numFmtId="0" fontId="18" fillId="9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19" fillId="9" borderId="5" xfId="0" applyNumberFormat="1" applyFont="1" applyFill="1" applyBorder="1" applyAlignment="1">
      <x:alignment vertical="center" wrapText="1"/>
    </x:xf>
    <x:xf numFmtId="0" fontId="19" fillId="9" borderId="6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wrapText="1"/>
    </x:xf>
    <x:xf numFmtId="0" fontId="15" fillId="6" borderId="5" xfId="0" applyNumberFormat="1" applyFont="1" applyFill="1" applyBorder="1" applyAlignment="1">
      <x:alignment vertical="center"/>
    </x:xf>
    <x:xf numFmtId="0" fontId="20" fillId="9" borderId="6" xfId="0" applyNumberFormat="1" applyFont="1" applyFill="1" applyBorder="1" applyAlignment="1">
      <x:alignment vertical="center"/>
    </x:xf>
    <x:xf numFmtId="0" fontId="17" fillId="0" borderId="6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1" fillId="12" borderId="0" xfId="0" applyNumberFormat="1" applyFont="1" applyFill="1" applyBorder="1"/>
    <x:xf numFmtId="0" fontId="2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7" xfId="0" applyNumberFormat="1" applyFont="1" applyFill="1" applyBorder="1"/>
    <x:xf numFmtId="0" fontId="9" fillId="13" borderId="6" xfId="0" applyNumberFormat="1" applyFont="1" applyFill="1" applyBorder="1"/>
    <x:xf numFmtId="0" fontId="9" fillId="13" borderId="8" xfId="0" applyNumberFormat="1" applyFont="1" applyFill="1" applyBorder="1"/>
    <x:xf numFmtId="0" fontId="9" fillId="13" borderId="7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4" fontId="17" fillId="14" borderId="5" xfId="0" applyNumberFormat="1" applyFont="1" applyFill="1" applyBorder="1" applyAlignment="1">
      <x:alignment vertical="center" wrapText="1"/>
    </x:xf>
    <x:xf numFmtId="201" fontId="17" fillId="14" borderId="5" xfId="0" applyNumberFormat="1" applyFont="1" applyFill="1" applyBorder="1" applyAlignment="1">
      <x:alignment vertical="center" wrapText="1"/>
    </x:xf>
    <x:xf numFmtId="202" fontId="17" fillId="14" borderId="5" xfId="0" applyNumberFormat="1" applyFont="1" applyFill="1" applyBorder="1" applyAlignment="1">
      <x:alignment vertical="center" wrapText="1"/>
    </x:xf>
    <x:xf numFmtId="204" fontId="17" fillId="14" borderId="6" xfId="0" applyNumberFormat="1" applyFont="1" applyFill="1" applyBorder="1" applyAlignment="1">
      <x:alignment vertical="center" wrapText="1"/>
    </x:xf>
    <x:xf numFmtId="201" fontId="17" fillId="14" borderId="6" xfId="0" applyNumberFormat="1" applyFont="1" applyFill="1" applyBorder="1" applyAlignment="1">
      <x:alignment vertical="center" wrapText="1"/>
    </x:xf>
    <x:xf numFmtId="202" fontId="17" fillId="14" borderId="6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1" fillId="15" borderId="0" xfId="0" applyNumberFormat="1" applyFont="1" applyFill="1" applyBorder="1"/>
    <x:xf numFmtId="0" fontId="21" fillId="1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0" fillId="14" borderId="5" xfId="0" applyNumberFormat="1" applyFont="1" applyFill="1" applyBorder="1" applyAlignment="1">
      <x:alignment vertical="center" wrapText="1"/>
    </x:xf>
    <x:xf numFmtId="0" fontId="0" fillId="14" borderId="6" xfId="0" applyNumberFormat="1" applyFont="1" applyFill="1" applyBorder="1" applyAlignment="1">
      <x:alignment vertical="center" wrapText="1"/>
    </x:xf>
    <x:xf numFmtId="0" fontId="17" fillId="14" borderId="5" xfId="0" applyNumberFormat="1" applyFont="1" applyFill="1" applyBorder="1" applyAlignment="1">
      <x:alignment vertical="center" wrapText="1"/>
    </x:xf>
    <x:xf numFmtId="0" fontId="17" fillId="14" borderId="6" xfId="0" applyNumberFormat="1" applyFont="1" applyFill="1" applyBorder="1" applyAlignment="1">
      <x:alignment vertical="center" wrapText="1"/>
    </x:xf>
    <x:xf numFmtId="0" fontId="17" fillId="16" borderId="5" xfId="0" applyNumberFormat="1" applyFont="1" applyFill="1" applyBorder="1" applyAlignment="1">
      <x:alignment vertical="center" wrapText="1"/>
    </x:xf>
    <x:xf numFmtId="0" fontId="17" fillId="16" borderId="6" xfId="0" applyNumberFormat="1" applyFont="1" applyFill="1" applyBorder="1" applyAlignment="1">
      <x:alignment vertical="center" wrapText="1"/>
    </x:xf>
    <x:xf numFmtId="0" fontId="19" fillId="16" borderId="5" xfId="0" applyNumberFormat="1" applyFont="1" applyFill="1" applyBorder="1" applyAlignment="1">
      <x:alignment vertical="center" wrapText="1"/>
    </x:xf>
    <x:xf numFmtId="0" fontId="19" fillId="16" borderId="6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vertical="center" wrapText="1"/>
    </x:xf>
    <x:xf numFmtId="0" fontId="22" fillId="16" borderId="5" xfId="0" applyNumberFormat="1" applyFont="1" applyFill="1" applyBorder="1" applyAlignment="1">
      <x:alignment vertical="center" wrapText="1"/>
    </x:xf>
    <x:xf numFmtId="0" fontId="22" fillId="16" borderId="6" xfId="0" applyNumberFormat="1" applyFont="1" applyFill="1" applyBorder="1" applyAlignment="1">
      <x:alignment vertical="center" wrapText="1"/>
    </x:xf>
    <x:xf numFmtId="0" fontId="20" fillId="16" borderId="5" xfId="0" applyNumberFormat="1" applyFont="1" applyFill="1" applyBorder="1" applyAlignment="1">
      <x:alignment vertical="center" wrapText="1"/>
    </x:xf>
    <x:xf numFmtId="0" fontId="20" fillId="16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A5900"/>
      </x:font>
      <x:fill>
        <x:patternFill>
          <x:bgColor rgb="FFFFF3CD"/>
        </x:patternFill>
      </x:fill>
    </x:dxf>
    <x:dxf>
      <x:font>
        <x:b/>
        <x:color rgb="FF176B36"/>
      </x:font>
      <x:fill>
        <x:patternFill>
          <x:bgColor rgb="FFDFF3E4"/>
        </x:patternFill>
      </x:fill>
    </x:dxf>
    <x:dxf>
      <x:font>
        <x:b/>
        <x:color rgb="FF9B1C1C"/>
      </x:font>
      <x:fill>
        <x:patternFill>
          <x:bgColor rgb="FFFBE2E2"/>
        </x:patternFill>
      </x:fill>
    </x:dxf>
    <x:dxf>
      <x:font>
        <x:b/>
        <x:color rgb="FF7A5900"/>
      </x:font>
      <x:fill>
        <x:patternFill patternType="solid">
          <x:bgColor rgb="FFFFF3CD"/>
        </x:patternFill>
      </x:fill>
    </x:dxf>
    <x:dxf>
      <x:font>
        <x:b/>
        <x:color rgb="FF176B36"/>
      </x:font>
      <x:fill>
        <x:patternFill patternType="solid">
          <x:bgColor rgb="FFDFF3E4"/>
        </x:patternFill>
      </x:fill>
    </x:dxf>
    <x:dxf>
      <x:font>
        <x:i/>
        <x:color rgb="FF243746"/>
      </x:font>
      <x:fill>
        <x:patternFill patternType="solid">
          <x:bgColor rgb="FFF3F5F7"/>
        </x:patternFill>
      </x:fill>
    </x:dxf>
    <x:dxf>
      <x:font>
        <x:b/>
        <x:color rgb="FF9B1C1C"/>
      </x:font>
      <x:fill>
        <x:patternFill patternType="solid">
          <x:bgColor rgb="FFFBE2E2"/>
        </x:patternFill>
      </x:fill>
    </x:dxf>
    <x:dxf>
      <x:font>
        <x:b/>
        <x:color rgb="FF176B36"/>
      </x:font>
      <x:fill>
        <x:patternFill patternType="solid">
          <x:bgColor rgb="FFDF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2c5fb973a4cf8" /><Relationship Type="http://schemas.openxmlformats.org/officeDocument/2006/relationships/theme" Target="/xl/theme/theme1.xml" Id="Rf5ca7d4af9d84f05" /><Relationship Type="http://schemas.openxmlformats.org/officeDocument/2006/relationships/sharedStrings" Target="/xl/sharedStrings.xml" Id="Ra6e367c2100e42e8" /><Relationship Type="http://schemas.openxmlformats.org/officeDocument/2006/relationships/worksheet" Target="/xl/worksheets/sheet1.xml" Id="R870aa89f7ceb46af" /><Relationship Type="http://schemas.openxmlformats.org/officeDocument/2006/relationships/worksheet" Target="/xl/worksheets/sheet2.xml" Id="R3ecdebdb97dc463e" /><Relationship Type="http://schemas.openxmlformats.org/officeDocument/2006/relationships/worksheet" Target="/xl/worksheets/sheet3.xml" Id="R7fdf9ef60d73498e" /><Relationship Type="http://schemas.openxmlformats.org/officeDocument/2006/relationships/worksheet" Target="/xl/worksheets/sheet4.xml" Id="R51d8d3ccefad4ed7" /><Relationship Type="http://schemas.openxmlformats.org/officeDocument/2006/relationships/worksheet" Target="/xl/worksheets/sheet5.xml" Id="R5050df19c5dc46a1" /><Relationship Type="http://schemas.openxmlformats.org/officeDocument/2006/relationships/worksheet" Target="/xl/worksheets/sheet6.xml" Id="R40ffedac093849de" /><Relationship Type="http://schemas.openxmlformats.org/officeDocument/2006/relationships/worksheet" Target="/xl/worksheets/sheet7.xml" Id="Rfae6d35a22314520" /><Relationship Type="http://schemas.openxmlformats.org/officeDocument/2006/relationships/worksheet" Target="/xl/worksheets/sheet8.xml" Id="R44dc7d7dfdd64e36" /><Relationship Type="http://schemas.openxmlformats.org/officeDocument/2006/relationships/worksheet" Target="/xl/worksheets/sheet9.xml" Id="R711b79e5814747f4" /><Relationship Type="http://schemas.openxmlformats.org/officeDocument/2006/relationships/worksheet" Target="/xl/worksheets/sheet10.xml" Id="R8a1b77ab797844f5" /><Relationship Type="http://schemas.openxmlformats.org/officeDocument/2006/relationships/worksheet" Target="/xl/worksheets/sheet11.xml" Id="Ra54f524870714d3c" /></Relationships>
</file>

<file path=xl/tables/table1.xml><?xml version="1.0" encoding="utf-8"?>
<x:table xmlns:x="http://schemas.openxmlformats.org/spreadsheetml/2006/main" id="1" name="ContentLedgerTable" displayName="ContentLedgerTable" ref="A4:T34" headerRowCount="1" totalsRowCount="0" totalsRowShown="0">
  <x:tableColumns count="20">
    <x:tableColumn id="1" name="发布日期"/>
    <x:tableColumn id="2" name="选题"/>
    <x:tableColumn id="3" name="热点类型"/>
    <x:tableColumn id="4" name="来源平台"/>
    <x:tableColumn id="5" name="标题"/>
    <x:tableColumn id="6" name="封面文案"/>
    <x:tableColumn id="7" name="视频时长(秒)"/>
    <x:tableColumn id="8" name="开头钩子"/>
    <x:tableColumn id="9" name="内容结构"/>
    <x:tableColumn id="10" name="播放量"/>
    <x:tableColumn id="11" name="3秒留存"/>
    <x:tableColumn id="12" name="平均观看时长(秒)"/>
    <x:tableColumn id="13" name="完播率"/>
    <x:tableColumn id="14" name="点赞"/>
    <x:tableColumn id="15" name="评论"/>
    <x:tableColumn id="16" name="收藏"/>
    <x:tableColumn id="17" name="转发"/>
    <x:tableColumn id="18" name="涨粉"/>
    <x:tableColumn id="19" name="状态"/>
    <x:tableColumn id="2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ScoreTable" displayName="CandidateScoreTable" ref="A4:Q9" headerRowCount="1" totalsRowCount="0" totalsRowShown="0">
  <x:tableColumns count="17">
    <x:tableColumn id="1" name="日期"/>
    <x:tableColumn id="2" name="候选"/>
    <x:tableColumn id="3" name="类型"/>
    <x:tableColumn id="4" name="时效"/>
    <x:tableColumn id="5" name="相关"/>
    <x:tableColumn id="6" name="新奇"/>
    <x:tableColumn id="7" name="可讲"/>
    <x:tableColumn id="8" name="观点"/>
    <x:tableColumn id="9" name="互动"/>
    <x:tableColumn id="10" name="可信"/>
    <x:tableColumn id="11" name="风险"/>
    <x:tableColumn id="12" name="正向加权分"/>
    <x:tableColumn id="13" name="风险扣分"/>
    <x:tableColumn id="14" name="推荐指数"/>
    <x:tableColumn id="15" name="结论"/>
    <x:tableColumn id="16" name="推荐/不推荐原因"/>
    <x:tableColumn id="17" name="主要来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eeklyReviewTable" displayName="WeeklyReviewTable" ref="A4:N9" headerRowCount="1" totalsRowCount="0" totalsRowShown="0">
  <x:tableColumns count="14">
    <x:tableColumn id="1" name="周次"/>
    <x:tableColumn id="2" name="开始日期"/>
    <x:tableColumn id="3" name="结束日期"/>
    <x:tableColumn id="4" name="发布数"/>
    <x:tableColumn id="5" name="平均3秒留存"/>
    <x:tableColumn id="6" name="平均完播率"/>
    <x:tableColumn id="7" name="总播放"/>
    <x:tableColumn id="8" name="互动率"/>
    <x:tableColumn id="9" name="最佳类型"/>
    <x:tableColumn id="10" name="最佳钩子"/>
    <x:tableColumn id="11" name="增加"/>
    <x:tableColumn id="12" name="减少"/>
    <x:tableColumn id="13" name="停止"/>
    <x:tableColumn id="14" name="表达/风险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wthContentLedger" displayName="GrowthContentLedger" ref="A4:AH36" headerRowCount="1" totalsRowCount="0" totalsRowShown="0">
  <x:tableColumns count="34">
    <x:tableColumn id="1" name="日期"/>
    <x:tableColumn id="2" name="成长天数"/>
    <x:tableColumn id="3" name="定位版本"/>
    <x:tableColumn id="4" name="固定栏目"/>
    <x:tableColumn id="5" name="内容支柱"/>
    <x:tableColumn id="6" name="AI项目/学习路线"/>
    <x:tableColumn id="7" name="昨日挑战"/>
    <x:tableColumn id="8" name="今日真实进展"/>
    <x:tableColumn id="9" name="可展示证据"/>
    <x:tableColumn id="10" name="真实错误/返工"/>
    <x:tableColumn id="11" name="观众可带走经验"/>
    <x:tableColumn id="12" name="明日挑战"/>
    <x:tableColumn id="13" name="候选/主选题"/>
    <x:tableColumn id="14" name="热点辅助"/>
    <x:tableColumn id="15" name="来源/证据"/>
    <x:tableColumn id="16" name="标题"/>
    <x:tableColumn id="17" name="封面文案"/>
    <x:tableColumn id="18" name="视频时长(秒)"/>
    <x:tableColumn id="19" name="开头钩子"/>
    <x:tableColumn id="20" name="内容结构"/>
    <x:tableColumn id="21" name="播放量"/>
    <x:tableColumn id="22" name="3秒留存"/>
    <x:tableColumn id="23" name="平均观看时长(秒)"/>
    <x:tableColumn id="24" name="完播率"/>
    <x:tableColumn id="25" name="点赞"/>
    <x:tableColumn id="26" name="评论"/>
    <x:tableColumn id="27" name="收藏"/>
    <x:tableColumn id="28" name="转发"/>
    <x:tableColumn id="29" name="涨粉"/>
    <x:tableColumn id="30" name="状态"/>
    <x:tableColumn id="31" name="隐私/版权审核"/>
    <x:tableColumn id="32" name="个人学习结论"/>
    <x:tableColumn id="33" name="账号内容结论"/>
    <x:tableColumn id="34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owthCandidateScore" displayName="GrowthCandidateScore" ref="A4:T9" headerRowCount="1" totalsRowCount="0" totalsRowShown="0">
  <x:tableColumns count="20">
    <x:tableColumn id="1" name="日期"/>
    <x:tableColumn id="2" name="固定方向"/>
    <x:tableColumn id="3" name="候选角度"/>
    <x:tableColumn id="4" name="真实证据"/>
    <x:tableColumn id="5" name="主线连续"/>
    <x:tableColumn id="6" name="观众价值"/>
    <x:tableColumn id="7" name="变化结果"/>
    <x:tableColumn id="8" name="画面展示"/>
    <x:tableColumn id="9" name="讲成人话"/>
    <x:tableColumn id="10" name="共鸣讨论"/>
    <x:tableColumn id="11" name="明日悬念"/>
    <x:tableColumn id="12" name="制作可行"/>
    <x:tableColumn id="13" name="风险"/>
    <x:tableColumn id="14" name="正向分"/>
    <x:tableColumn id="15" name="风险扣分"/>
    <x:tableColumn id="16" name="推荐指数"/>
    <x:tableColumn id="17" name="结论"/>
    <x:tableColumn id="18" name="证据路径"/>
    <x:tableColumn id="19" name="空缺原因"/>
    <x:tableColumn id="20" name="备注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GrowthRoadmap" displayName="GrowthRoadmap" ref="A4:G34" headerRowCount="1" totalsRowCount="0" totalsRowShown="0">
  <x:tableColumns count="7">
    <x:tableColumn id="1" name="Day"/>
    <x:tableColumn id="2" name="阶段"/>
    <x:tableColumn id="3" name="计划挑战"/>
    <x:tableColumn id="4" name="必须证据"/>
    <x:tableColumn id="5" name="状态"/>
    <x:tableColumn id="6" name="实际结果"/>
    <x:tableColumn id="7" name="实际证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alReviewTable" displayName="DualReviewTable" ref="A4:U9" headerRowCount="1" totalsRowCount="0" totalsRowShown="0">
  <x:tableColumns count="21">
    <x:tableColumn id="1" name="周次"/>
    <x:tableColumn id="2" name="开始"/>
    <x:tableColumn id="3" name="结束"/>
    <x:tableColumn id="4" name="计划挑战"/>
    <x:tableColumn id="5" name="实际完成"/>
    <x:tableColumn id="6" name="AI帮上忙"/>
    <x:tableColumn id="7" name="AI出错/返工"/>
    <x:tableColumn id="8" name="新增独立能力"/>
    <x:tableColumn id="9" name="下周项目挑战"/>
    <x:tableColumn id="10" name="发布数"/>
    <x:tableColumn id="11" name="平均3秒留存"/>
    <x:tableColumn id="12" name="平均完播率"/>
    <x:tableColumn id="13" name="总播放"/>
    <x:tableColumn id="14" name="互动率"/>
    <x:tableColumn id="15" name="最佳真实变化"/>
    <x:tableColumn id="16" name="最佳证据画面"/>
    <x:tableColumn id="17" name="最佳钩子"/>
    <x:tableColumn id="18" name="学习动作"/>
    <x:tableColumn id="19" name="内容动作"/>
    <x:tableColumn id="20" name="交叉判断"/>
    <x:tableColumn id="2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294824878a4c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9c1e3f808d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78b3e74aa84a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e99b9f2919e4e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1fab04e3cf44b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a823b4469d0643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87d387481f34e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44" t="str">
        <x:v>AI实践成长账号｜30天仪表盘</x:v>
      </x:c>
      <x:c r="B1" s="144" t="str">
        <x:v>中文口播账号｜30天内容实验仪表盘</x:v>
      </x:c>
      <x:c r="C1" s="144" t="str">
        <x:v>中文口播账号｜30天内容实验仪表盘</x:v>
      </x:c>
      <x:c r="D1" s="144" t="str">
        <x:v>中文口播账号｜30天内容实验仪表盘</x:v>
      </x:c>
      <x:c r="E1" s="144" t="str">
        <x:v>中文口播账号｜30天内容实验仪表盘</x:v>
      </x:c>
      <x:c r="F1" s="144" t="str">
        <x:v>中文口播账号｜30天内容实验仪表盘</x:v>
      </x:c>
      <x:c r="G1" s="144" t="str">
        <x:v>中文口播账号｜30天内容实验仪表盘</x:v>
      </x:c>
      <x:c r="H1" s="144" t="str">
        <x:v>中文口播账号｜30天内容实验仪表盘</x:v>
      </x:c>
    </x:row>
    <x:row r="2" ht="36" customHeight="1">
      <x:c r="A2" s="141" t="str">
        <x:v>先看真实项目和证据，再看内容数据。旧热点Day 1保留为基线；当前新定位Day 1样例待用户审核，暂不自动发布。</x:v>
      </x:c>
      <x:c r="B2" s="141"/>
      <x:c r="C2" s="141"/>
      <x:c r="D2" s="141"/>
      <x:c r="E2" s="141"/>
      <x:c r="F2" s="141"/>
      <x:c r="G2" s="141"/>
      <x:c r="H2" s="141"/>
    </x:row>
    <x:row r="3">
      <x:c r="A3" s="145" t="str">
        <x:v>已发布</x:v>
      </x:c>
      <x:c r="B3" s="145" t="str">
        <x:v>已发布</x:v>
      </x:c>
      <x:c r="C3" s="145" t="str">
        <x:v>待审核</x:v>
      </x:c>
      <x:c r="D3" s="145" t="str">
        <x:v>待审核</x:v>
      </x:c>
      <x:c r="E3" s="145" t="str">
        <x:v>累计播放</x:v>
      </x:c>
      <x:c r="F3" s="145" t="str">
        <x:v>累计播放</x:v>
      </x:c>
      <x:c r="G3" s="145" t="str">
        <x:v>累计涨粉</x:v>
      </x:c>
      <x:c r="H3" s="145" t="str">
        <x:v>累计涨粉</x:v>
      </x:c>
    </x:row>
    <x:row r="4">
      <x:c r="A4" s="146" t="n">
        <x:f>COUNTIF('成长内容台账'!$AD$5:$AD$36,"已发布")</x:f>
        <x:v>0</x:v>
      </x:c>
      <x:c r="B4" s="147"/>
      <x:c r="C4" s="148" t="n">
        <x:f>COUNTIF('成长内容台账'!$AD$5:$AD$36,"待审核")</x:f>
        <x:v>1</x:v>
      </x:c>
      <x:c r="D4" s="149"/>
      <x:c r="E4" s="150" t="n">
        <x:f>SUM('成长内容台账'!$U$5:$U$36)</x:f>
        <x:v>0</x:v>
      </x:c>
      <x:c r="F4" s="151"/>
      <x:c r="G4" s="150" t="n">
        <x:f>SUM('成长内容台账'!$AC$5:$AC$36)</x:f>
        <x:v>0</x:v>
      </x:c>
      <x:c r="H4" s="151"/>
    </x:row>
    <x:row r="5">
      <x:c r="A5" s="152"/>
      <x:c r="B5" s="153"/>
      <x:c r="C5" s="154"/>
      <x:c r="D5" s="155"/>
      <x:c r="E5" s="156"/>
      <x:c r="F5" s="157"/>
      <x:c r="G5" s="156"/>
      <x:c r="H5" s="157"/>
    </x:row>
    <x:row r="6">
      <x:c r="A6" s="158"/>
      <x:c r="B6" s="158"/>
      <x:c r="C6" s="158"/>
      <x:c r="D6" s="158"/>
      <x:c r="E6" s="158"/>
      <x:c r="F6" s="158"/>
      <x:c r="G6" s="158"/>
      <x:c r="H6" s="158"/>
    </x:row>
    <x:row r="7">
      <x:c r="A7" s="159" t="str">
        <x:v>平均3秒留存</x:v>
      </x:c>
      <x:c r="B7" s="159" t="str">
        <x:v>平均3秒留存</x:v>
      </x:c>
      <x:c r="C7" s="159" t="str">
        <x:v>平均完播率</x:v>
      </x:c>
      <x:c r="D7" s="159" t="str">
        <x:v>平均完播率</x:v>
      </x:c>
      <x:c r="E7" s="159" t="str">
        <x:v>平均观看秒</x:v>
      </x:c>
      <x:c r="F7" s="159" t="str">
        <x:v>平均观看秒</x:v>
      </x:c>
      <x:c r="G7" s="159" t="str">
        <x:v>综合互动率</x:v>
      </x:c>
      <x:c r="H7" s="159" t="str">
        <x:v>综合互动率</x:v>
      </x:c>
    </x:row>
    <x:row r="8">
      <x:c r="A8" s="160" t="n">
        <x:f>IFERROR(AVERAGEIF('成长内容台账'!$AD$5:$AD$36,"已发布",'成长内容台账'!$V$5:$V$36),0)</x:f>
        <x:v>0</x:v>
      </x:c>
      <x:c r="B8" s="161"/>
      <x:c r="C8" s="160" t="n">
        <x:f>IFERROR(AVERAGEIF('成长内容台账'!$AD$5:$AD$36,"已发布",'成长内容台账'!$X$5:$X$36),0)</x:f>
        <x:v>0</x:v>
      </x:c>
      <x:c r="D8" s="161"/>
      <x:c r="E8" s="162" t="n">
        <x:f>IFERROR(AVERAGEIF('成长内容台账'!$AD$5:$AD$36,"已发布",'成长内容台账'!$W$5:$W$36),0)</x:f>
        <x:v>0</x:v>
      </x:c>
      <x:c r="F8" s="163"/>
      <x:c r="G8" s="160" t="n">
        <x:f>IFERROR((SUM('成长内容台账'!$Y$5:$Y$36)+SUM('成长内容台账'!$Z$5:$Z$36)+SUM('成长内容台账'!$AA$5:$AA$36)+SUM('成长内容台账'!$AB$5:$AB$36))/SUM('成长内容台账'!$U$5:$U$36),0)</x:f>
        <x:v>0</x:v>
      </x:c>
      <x:c r="H8" s="161"/>
    </x:row>
    <x:row r="9">
      <x:c r="A9" s="164"/>
      <x:c r="B9" s="165"/>
      <x:c r="C9" s="164"/>
      <x:c r="D9" s="165"/>
      <x:c r="E9" s="166"/>
      <x:c r="F9" s="167"/>
      <x:c r="G9" s="164"/>
      <x:c r="H9" s="165"/>
    </x:row>
    <x:row r="10">
      <x:c r="A10" s="158"/>
      <x:c r="B10" s="158"/>
      <x:c r="C10" s="158"/>
      <x:c r="D10" s="158"/>
      <x:c r="E10" s="158"/>
      <x:c r="F10" s="158"/>
      <x:c r="G10" s="158"/>
      <x:c r="H10" s="158"/>
    </x:row>
    <x:row r="11">
      <x:c r="A11" s="168" t="str">
        <x:v>当前AI成长实验状态</x:v>
      </x:c>
      <x:c r="B11" s="168"/>
      <x:c r="C11" s="168"/>
      <x:c r="D11" s="168"/>
      <x:c r="E11" s="168"/>
      <x:c r="F11" s="168"/>
      <x:c r="G11" s="168"/>
      <x:c r="H11" s="168"/>
    </x:row>
    <x:row r="12">
      <x:c r="A12" s="169" t="str">
        <x:v>阶段</x:v>
      </x:c>
      <x:c r="B12" s="138" t="str">
        <x:v>新定位 Day 1 / 30天</x:v>
      </x:c>
      <x:c r="C12" s="138"/>
      <x:c r="D12" s="138"/>
      <x:c r="E12" s="138"/>
      <x:c r="F12" s="138"/>
      <x:c r="G12" s="138"/>
      <x:c r="H12" s="138"/>
    </x:row>
    <x:row r="13">
      <x:c r="A13" s="170" t="str">
        <x:v>主选题</x:v>
      </x:c>
      <x:c r="B13" s="140" t="str">
        <x:v>我让AI每天找热点，第一天先发现账号方向可能错了</x:v>
      </x:c>
      <x:c r="C13" s="140"/>
      <x:c r="D13" s="140"/>
      <x:c r="E13" s="140"/>
      <x:c r="F13" s="140"/>
      <x:c r="G13" s="140"/>
      <x:c r="H13" s="140"/>
    </x:row>
    <x:row r="14">
      <x:c r="A14" s="170" t="str">
        <x:v>审核状态</x:v>
      </x:c>
      <x:c r="B14" s="140" t="str">
        <x:v>等待用户审核新成长型样例</x:v>
      </x:c>
      <x:c r="C14" s="140"/>
      <x:c r="D14" s="140"/>
      <x:c r="E14" s="140"/>
      <x:c r="F14" s="140"/>
      <x:c r="G14" s="140"/>
      <x:c r="H14" s="140"/>
    </x:row>
    <x:row r="15">
      <x:c r="A15" s="170" t="str">
        <x:v>自动化状态</x:v>
      </x:c>
      <x:c r="B15" s="140" t="str">
        <x:v>暂不自动发布；先验证真实任务记录流程</x:v>
      </x:c>
      <x:c r="C15" s="140"/>
      <x:c r="D15" s="140"/>
      <x:c r="E15" s="140"/>
      <x:c r="F15" s="140"/>
      <x:c r="G15" s="140"/>
      <x:c r="H15" s="140"/>
    </x:row>
    <x:row r="16">
      <x:c r="A16" s="170" t="str">
        <x:v>明日挑战</x:v>
      </x:c>
      <x:c r="B16" s="140" t="str">
        <x:v>用新流程记录一个真实Codex任务并验证可拍性</x:v>
      </x:c>
      <x:c r="C16" s="140"/>
      <x:c r="D16" s="140"/>
      <x:c r="E16" s="140"/>
      <x:c r="F16" s="140"/>
      <x:c r="G16" s="140"/>
      <x:c r="H16" s="140"/>
    </x:row>
  </x:sheetData>
  <x:mergeCells>
    <x:mergeCell ref="A1:H1"/>
    <x:mergeCell ref="A2:H2"/>
    <x:mergeCell ref="A3:B3"/>
    <x:mergeCell ref="A4:B5"/>
    <x:mergeCell ref="C3:D3"/>
    <x:mergeCell ref="C4:D5"/>
    <x:mergeCell ref="E3:F3"/>
    <x:mergeCell ref="E4:F5"/>
    <x:mergeCell ref="G3:H3"/>
    <x:mergeCell ref="G4:H5"/>
    <x:mergeCell ref="A7:B7"/>
    <x:mergeCell ref="A8:B9"/>
    <x:mergeCell ref="C7:D7"/>
    <x:mergeCell ref="C8:D9"/>
    <x:mergeCell ref="E7:F7"/>
    <x:mergeCell ref="E8:F9"/>
    <x:mergeCell ref="G7:H7"/>
    <x:mergeCell ref="G8:H9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2" hidden="0" customWidth="1"/>
    <x:col min="8" max="8" width="34" hidden="0" customWidth="1"/>
    <x:col min="9" max="9" width="40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2" hidden="0" customWidth="1"/>
    <x:col min="20" max="20" width="34" hidden="0" customWidth="1"/>
  </x:cols>
  <x:sheetData>
    <x:row r="1" ht="34" customHeight="1">
      <x:c r="A1" s="221" t="str">
        <x:v>旧定位内容台账基线｜保留样本</x:v>
      </x:c>
      <x:c r="B1" s="221" t="str">
        <x:v>30天内容台账</x:v>
      </x:c>
      <x:c r="C1" s="221" t="str">
        <x:v>30天内容台账</x:v>
      </x:c>
      <x:c r="D1" s="221" t="str">
        <x:v>30天内容台账</x:v>
      </x:c>
      <x:c r="E1" s="221" t="str">
        <x:v>30天内容台账</x:v>
      </x:c>
      <x:c r="F1" s="221" t="str">
        <x:v>30天内容台账</x:v>
      </x:c>
      <x:c r="G1" s="221" t="str">
        <x:v>30天内容台账</x:v>
      </x:c>
      <x:c r="H1" s="221" t="str">
        <x:v>30天内容台账</x:v>
      </x:c>
      <x:c r="I1" s="221" t="str">
        <x:v>30天内容台账</x:v>
      </x:c>
      <x:c r="J1" s="221" t="str">
        <x:v>30天内容台账</x:v>
      </x:c>
      <x:c r="K1" s="221" t="str">
        <x:v>30天内容台账</x:v>
      </x:c>
      <x:c r="L1" s="221" t="str">
        <x:v>30天内容台账</x:v>
      </x:c>
      <x:c r="M1" s="221" t="str">
        <x:v>30天内容台账</x:v>
      </x:c>
      <x:c r="N1" s="221" t="str">
        <x:v>30天内容台账</x:v>
      </x:c>
      <x:c r="O1" s="221" t="str">
        <x:v>30天内容台账</x:v>
      </x:c>
      <x:c r="P1" s="221" t="str">
        <x:v>30天内容台账</x:v>
      </x:c>
      <x:c r="Q1" s="221" t="str">
        <x:v>30天内容台账</x:v>
      </x:c>
      <x:c r="R1" s="221" t="str">
        <x:v>30天内容台账</x:v>
      </x:c>
      <x:c r="S1" s="221" t="str">
        <x:v>30天内容台账</x:v>
      </x:c>
      <x:c r="T1" s="221" t="str">
        <x:v>30天内容台账</x:v>
      </x:c>
    </x:row>
    <x:row r="2" ht="32" customHeight="1">
      <x:c r="A2" s="222" t="str">
        <x:v>本表保留2026-07-15综合热点口播Day 1数据，用于与AI实践成长新定位对比；不得删除或当作新定位日更。</x:v>
      </x:c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  <x:c r="R3" s="223"/>
      <x:c r="S3" s="223"/>
      <x:c r="T3" s="223"/>
    </x:row>
    <x:row r="4" ht="34" customHeight="1">
      <x:c r="A4" s="224" t="str">
        <x:v>发布日期</x:v>
      </x:c>
      <x:c r="B4" s="225" t="str">
        <x:v>选题</x:v>
      </x:c>
      <x:c r="C4" s="225" t="str">
        <x:v>热点类型</x:v>
      </x:c>
      <x:c r="D4" s="225" t="str">
        <x:v>来源平台</x:v>
      </x:c>
      <x:c r="E4" s="225" t="str">
        <x:v>标题</x:v>
      </x:c>
      <x:c r="F4" s="225" t="str">
        <x:v>封面文案</x:v>
      </x:c>
      <x:c r="G4" s="225" t="str">
        <x:v>视频时长(秒)</x:v>
      </x:c>
      <x:c r="H4" s="225" t="str">
        <x:v>开头钩子</x:v>
      </x:c>
      <x:c r="I4" s="225" t="str">
        <x:v>内容结构</x:v>
      </x:c>
      <x:c r="J4" s="225" t="str">
        <x:v>播放量</x:v>
      </x:c>
      <x:c r="K4" s="225" t="str">
        <x:v>3秒留存</x:v>
      </x:c>
      <x:c r="L4" s="225" t="str">
        <x:v>平均观看时长(秒)</x:v>
      </x:c>
      <x:c r="M4" s="225" t="str">
        <x:v>完播率</x:v>
      </x:c>
      <x:c r="N4" s="225" t="str">
        <x:v>点赞</x:v>
      </x:c>
      <x:c r="O4" s="225" t="str">
        <x:v>评论</x:v>
      </x:c>
      <x:c r="P4" s="225" t="str">
        <x:v>收藏</x:v>
      </x:c>
      <x:c r="Q4" s="225" t="str">
        <x:v>转发</x:v>
      </x:c>
      <x:c r="R4" s="225" t="str">
        <x:v>涨粉</x:v>
      </x:c>
      <x:c r="S4" s="225" t="str">
        <x:v>状态</x:v>
      </x:c>
      <x:c r="T4" s="226" t="str">
        <x:v>备注</x:v>
      </x:c>
    </x:row>
    <x:row r="5" ht="62" customHeight="1">
      <x:c r="A5" s="227" t="n">
        <x:v>46218</x:v>
      </x:c>
      <x:c r="B5" s="228" t="str">
        <x:v>新能源车“平均车龄1.8年”误读</x:v>
      </x:c>
      <x:c r="C5" s="228" t="str">
        <x:v>消费/科技/数据素养</x:v>
      </x:c>
      <x:c r="D5" s="228" t="str">
        <x:v>抖音/小红书/媒体</x:v>
      </x:c>
      <x:c r="E5" s="228" t="str">
        <x:v>平均车龄不是汽车寿命，这次很多人看反了</x:v>
      </x:c>
      <x:c r="F5" s="228" t="str">
        <x:v>1.8年≠车寿命</x:v>
      </x:c>
      <x:c r="G5" s="229" t="n">
        <x:v>75</x:v>
      </x:c>
      <x:c r="H5" s="228" t="str">
        <x:v>一辆新能源车，平均只开1.8年？不是。</x:v>
      </x:c>
      <x:c r="I5" s="228" t="str">
        <x:v>冲突钩子→背景→概念澄清→生活比喻→克制判断→互动问题</x:v>
      </x:c>
      <x:c r="J5" s="230"/>
      <x:c r="K5" s="231"/>
      <x:c r="L5" s="232"/>
      <x:c r="M5" s="231"/>
      <x:c r="N5" s="230"/>
      <x:c r="O5" s="230"/>
      <x:c r="P5" s="230"/>
      <x:c r="Q5" s="230"/>
      <x:c r="R5" s="230"/>
      <x:c r="S5" s="228" t="str">
        <x:v>旧定位基线</x:v>
      </x:c>
      <x:c r="T5" s="228" t="str">
        <x:v>原综合热点主选题待审核；现作为旧定位基线样本保留。</x:v>
      </x:c>
    </x:row>
    <x:row r="6" ht="38" customHeight="1">
      <x:c r="A6" s="233"/>
      <x:c r="B6" s="234"/>
      <x:c r="C6" s="234"/>
      <x:c r="D6" s="234"/>
      <x:c r="E6" s="234"/>
      <x:c r="F6" s="234"/>
      <x:c r="G6" s="235"/>
      <x:c r="H6" s="234"/>
      <x:c r="I6" s="234"/>
      <x:c r="J6" s="236"/>
      <x:c r="K6" s="237"/>
      <x:c r="L6" s="238"/>
      <x:c r="M6" s="237"/>
      <x:c r="N6" s="236"/>
      <x:c r="O6" s="236"/>
      <x:c r="P6" s="236"/>
      <x:c r="Q6" s="236"/>
      <x:c r="R6" s="236"/>
      <x:c r="S6" s="234"/>
      <x:c r="T6" s="234"/>
    </x:row>
    <x:row r="7" ht="38" customHeight="1">
      <x:c r="A7" s="233"/>
      <x:c r="B7" s="234"/>
      <x:c r="C7" s="234"/>
      <x:c r="D7" s="234"/>
      <x:c r="E7" s="234"/>
      <x:c r="F7" s="234"/>
      <x:c r="G7" s="235"/>
      <x:c r="H7" s="234"/>
      <x:c r="I7" s="234"/>
      <x:c r="J7" s="236"/>
      <x:c r="K7" s="237"/>
      <x:c r="L7" s="238"/>
      <x:c r="M7" s="237"/>
      <x:c r="N7" s="236"/>
      <x:c r="O7" s="236"/>
      <x:c r="P7" s="236"/>
      <x:c r="Q7" s="236"/>
      <x:c r="R7" s="236"/>
      <x:c r="S7" s="234"/>
      <x:c r="T7" s="234"/>
    </x:row>
    <x:row r="8" ht="38" customHeight="1">
      <x:c r="A8" s="233"/>
      <x:c r="B8" s="234"/>
      <x:c r="C8" s="234"/>
      <x:c r="D8" s="234"/>
      <x:c r="E8" s="234"/>
      <x:c r="F8" s="234"/>
      <x:c r="G8" s="235"/>
      <x:c r="H8" s="234"/>
      <x:c r="I8" s="234"/>
      <x:c r="J8" s="236"/>
      <x:c r="K8" s="237"/>
      <x:c r="L8" s="238"/>
      <x:c r="M8" s="237"/>
      <x:c r="N8" s="236"/>
      <x:c r="O8" s="236"/>
      <x:c r="P8" s="236"/>
      <x:c r="Q8" s="236"/>
      <x:c r="R8" s="236"/>
      <x:c r="S8" s="234"/>
      <x:c r="T8" s="234"/>
    </x:row>
    <x:row r="9" ht="38" customHeight="1">
      <x:c r="A9" s="233"/>
      <x:c r="B9" s="234"/>
      <x:c r="C9" s="234"/>
      <x:c r="D9" s="234"/>
      <x:c r="E9" s="234"/>
      <x:c r="F9" s="234"/>
      <x:c r="G9" s="235"/>
      <x:c r="H9" s="234"/>
      <x:c r="I9" s="234"/>
      <x:c r="J9" s="236"/>
      <x:c r="K9" s="237"/>
      <x:c r="L9" s="238"/>
      <x:c r="M9" s="237"/>
      <x:c r="N9" s="236"/>
      <x:c r="O9" s="236"/>
      <x:c r="P9" s="236"/>
      <x:c r="Q9" s="236"/>
      <x:c r="R9" s="236"/>
      <x:c r="S9" s="234"/>
      <x:c r="T9" s="234"/>
    </x:row>
    <x:row r="10" ht="38" customHeight="1">
      <x:c r="A10" s="233"/>
      <x:c r="B10" s="234"/>
      <x:c r="C10" s="234"/>
      <x:c r="D10" s="234"/>
      <x:c r="E10" s="234"/>
      <x:c r="F10" s="234"/>
      <x:c r="G10" s="235"/>
      <x:c r="H10" s="234"/>
      <x:c r="I10" s="234"/>
      <x:c r="J10" s="236"/>
      <x:c r="K10" s="237"/>
      <x:c r="L10" s="238"/>
      <x:c r="M10" s="237"/>
      <x:c r="N10" s="236"/>
      <x:c r="O10" s="236"/>
      <x:c r="P10" s="236"/>
      <x:c r="Q10" s="236"/>
      <x:c r="R10" s="236"/>
      <x:c r="S10" s="234"/>
      <x:c r="T10" s="234"/>
    </x:row>
    <x:row r="11" ht="38" customHeight="1">
      <x:c r="A11" s="233"/>
      <x:c r="B11" s="234"/>
      <x:c r="C11" s="234"/>
      <x:c r="D11" s="234"/>
      <x:c r="E11" s="234"/>
      <x:c r="F11" s="234"/>
      <x:c r="G11" s="235"/>
      <x:c r="H11" s="234"/>
      <x:c r="I11" s="234"/>
      <x:c r="J11" s="236"/>
      <x:c r="K11" s="237"/>
      <x:c r="L11" s="238"/>
      <x:c r="M11" s="237"/>
      <x:c r="N11" s="236"/>
      <x:c r="O11" s="236"/>
      <x:c r="P11" s="236"/>
      <x:c r="Q11" s="236"/>
      <x:c r="R11" s="236"/>
      <x:c r="S11" s="234"/>
      <x:c r="T11" s="234"/>
    </x:row>
    <x:row r="12" ht="38" customHeight="1">
      <x:c r="A12" s="233"/>
      <x:c r="B12" s="234"/>
      <x:c r="C12" s="234"/>
      <x:c r="D12" s="234"/>
      <x:c r="E12" s="234"/>
      <x:c r="F12" s="234"/>
      <x:c r="G12" s="235"/>
      <x:c r="H12" s="234"/>
      <x:c r="I12" s="234"/>
      <x:c r="J12" s="236"/>
      <x:c r="K12" s="237"/>
      <x:c r="L12" s="238"/>
      <x:c r="M12" s="237"/>
      <x:c r="N12" s="236"/>
      <x:c r="O12" s="236"/>
      <x:c r="P12" s="236"/>
      <x:c r="Q12" s="236"/>
      <x:c r="R12" s="236"/>
      <x:c r="S12" s="234"/>
      <x:c r="T12" s="234"/>
    </x:row>
    <x:row r="13" ht="38" customHeight="1">
      <x:c r="A13" s="233"/>
      <x:c r="B13" s="234"/>
      <x:c r="C13" s="234"/>
      <x:c r="D13" s="234"/>
      <x:c r="E13" s="234"/>
      <x:c r="F13" s="234"/>
      <x:c r="G13" s="235"/>
      <x:c r="H13" s="234"/>
      <x:c r="I13" s="234"/>
      <x:c r="J13" s="236"/>
      <x:c r="K13" s="237"/>
      <x:c r="L13" s="238"/>
      <x:c r="M13" s="237"/>
      <x:c r="N13" s="236"/>
      <x:c r="O13" s="236"/>
      <x:c r="P13" s="236"/>
      <x:c r="Q13" s="236"/>
      <x:c r="R13" s="236"/>
      <x:c r="S13" s="234"/>
      <x:c r="T13" s="234"/>
    </x:row>
    <x:row r="14" ht="38" customHeight="1">
      <x:c r="A14" s="233"/>
      <x:c r="B14" s="234"/>
      <x:c r="C14" s="234"/>
      <x:c r="D14" s="234"/>
      <x:c r="E14" s="234"/>
      <x:c r="F14" s="234"/>
      <x:c r="G14" s="235"/>
      <x:c r="H14" s="234"/>
      <x:c r="I14" s="234"/>
      <x:c r="J14" s="236"/>
      <x:c r="K14" s="237"/>
      <x:c r="L14" s="238"/>
      <x:c r="M14" s="237"/>
      <x:c r="N14" s="236"/>
      <x:c r="O14" s="236"/>
      <x:c r="P14" s="236"/>
      <x:c r="Q14" s="236"/>
      <x:c r="R14" s="236"/>
      <x:c r="S14" s="234"/>
      <x:c r="T14" s="234"/>
    </x:row>
    <x:row r="15" ht="38" customHeight="1">
      <x:c r="A15" s="233"/>
      <x:c r="B15" s="234"/>
      <x:c r="C15" s="234"/>
      <x:c r="D15" s="234"/>
      <x:c r="E15" s="234"/>
      <x:c r="F15" s="234"/>
      <x:c r="G15" s="235"/>
      <x:c r="H15" s="234"/>
      <x:c r="I15" s="234"/>
      <x:c r="J15" s="236"/>
      <x:c r="K15" s="237"/>
      <x:c r="L15" s="238"/>
      <x:c r="M15" s="237"/>
      <x:c r="N15" s="236"/>
      <x:c r="O15" s="236"/>
      <x:c r="P15" s="236"/>
      <x:c r="Q15" s="236"/>
      <x:c r="R15" s="236"/>
      <x:c r="S15" s="234"/>
      <x:c r="T15" s="234"/>
    </x:row>
    <x:row r="16" ht="38" customHeight="1">
      <x:c r="A16" s="233"/>
      <x:c r="B16" s="234"/>
      <x:c r="C16" s="234"/>
      <x:c r="D16" s="234"/>
      <x:c r="E16" s="234"/>
      <x:c r="F16" s="234"/>
      <x:c r="G16" s="235"/>
      <x:c r="H16" s="234"/>
      <x:c r="I16" s="234"/>
      <x:c r="J16" s="236"/>
      <x:c r="K16" s="237"/>
      <x:c r="L16" s="238"/>
      <x:c r="M16" s="237"/>
      <x:c r="N16" s="236"/>
      <x:c r="O16" s="236"/>
      <x:c r="P16" s="236"/>
      <x:c r="Q16" s="236"/>
      <x:c r="R16" s="236"/>
      <x:c r="S16" s="234"/>
      <x:c r="T16" s="234"/>
    </x:row>
    <x:row r="17" ht="38" customHeight="1">
      <x:c r="A17" s="233"/>
      <x:c r="B17" s="234"/>
      <x:c r="C17" s="234"/>
      <x:c r="D17" s="234"/>
      <x:c r="E17" s="234"/>
      <x:c r="F17" s="234"/>
      <x:c r="G17" s="235"/>
      <x:c r="H17" s="234"/>
      <x:c r="I17" s="234"/>
      <x:c r="J17" s="236"/>
      <x:c r="K17" s="237"/>
      <x:c r="L17" s="238"/>
      <x:c r="M17" s="237"/>
      <x:c r="N17" s="236"/>
      <x:c r="O17" s="236"/>
      <x:c r="P17" s="236"/>
      <x:c r="Q17" s="236"/>
      <x:c r="R17" s="236"/>
      <x:c r="S17" s="234"/>
      <x:c r="T17" s="234"/>
    </x:row>
    <x:row r="18" ht="38" customHeight="1">
      <x:c r="A18" s="233"/>
      <x:c r="B18" s="234"/>
      <x:c r="C18" s="234"/>
      <x:c r="D18" s="234"/>
      <x:c r="E18" s="234"/>
      <x:c r="F18" s="234"/>
      <x:c r="G18" s="235"/>
      <x:c r="H18" s="234"/>
      <x:c r="I18" s="234"/>
      <x:c r="J18" s="236"/>
      <x:c r="K18" s="237"/>
      <x:c r="L18" s="238"/>
      <x:c r="M18" s="237"/>
      <x:c r="N18" s="236"/>
      <x:c r="O18" s="236"/>
      <x:c r="P18" s="236"/>
      <x:c r="Q18" s="236"/>
      <x:c r="R18" s="236"/>
      <x:c r="S18" s="234"/>
      <x:c r="T18" s="234"/>
    </x:row>
    <x:row r="19" ht="38" customHeight="1">
      <x:c r="A19" s="233"/>
      <x:c r="B19" s="234"/>
      <x:c r="C19" s="234"/>
      <x:c r="D19" s="234"/>
      <x:c r="E19" s="234"/>
      <x:c r="F19" s="234"/>
      <x:c r="G19" s="235"/>
      <x:c r="H19" s="234"/>
      <x:c r="I19" s="234"/>
      <x:c r="J19" s="236"/>
      <x:c r="K19" s="237"/>
      <x:c r="L19" s="238"/>
      <x:c r="M19" s="237"/>
      <x:c r="N19" s="236"/>
      <x:c r="O19" s="236"/>
      <x:c r="P19" s="236"/>
      <x:c r="Q19" s="236"/>
      <x:c r="R19" s="236"/>
      <x:c r="S19" s="234"/>
      <x:c r="T19" s="234"/>
    </x:row>
    <x:row r="20" ht="38" customHeight="1">
      <x:c r="A20" s="233"/>
      <x:c r="B20" s="234"/>
      <x:c r="C20" s="234"/>
      <x:c r="D20" s="234"/>
      <x:c r="E20" s="234"/>
      <x:c r="F20" s="234"/>
      <x:c r="G20" s="235"/>
      <x:c r="H20" s="234"/>
      <x:c r="I20" s="234"/>
      <x:c r="J20" s="236"/>
      <x:c r="K20" s="237"/>
      <x:c r="L20" s="238"/>
      <x:c r="M20" s="237"/>
      <x:c r="N20" s="236"/>
      <x:c r="O20" s="236"/>
      <x:c r="P20" s="236"/>
      <x:c r="Q20" s="236"/>
      <x:c r="R20" s="236"/>
      <x:c r="S20" s="234"/>
      <x:c r="T20" s="234"/>
    </x:row>
    <x:row r="21" ht="38" customHeight="1">
      <x:c r="A21" s="233"/>
      <x:c r="B21" s="234"/>
      <x:c r="C21" s="234"/>
      <x:c r="D21" s="234"/>
      <x:c r="E21" s="234"/>
      <x:c r="F21" s="234"/>
      <x:c r="G21" s="235"/>
      <x:c r="H21" s="234"/>
      <x:c r="I21" s="234"/>
      <x:c r="J21" s="236"/>
      <x:c r="K21" s="237"/>
      <x:c r="L21" s="238"/>
      <x:c r="M21" s="237"/>
      <x:c r="N21" s="236"/>
      <x:c r="O21" s="236"/>
      <x:c r="P21" s="236"/>
      <x:c r="Q21" s="236"/>
      <x:c r="R21" s="236"/>
      <x:c r="S21" s="234"/>
      <x:c r="T21" s="234"/>
    </x:row>
    <x:row r="22" ht="38" customHeight="1">
      <x:c r="A22" s="233"/>
      <x:c r="B22" s="234"/>
      <x:c r="C22" s="234"/>
      <x:c r="D22" s="234"/>
      <x:c r="E22" s="234"/>
      <x:c r="F22" s="234"/>
      <x:c r="G22" s="235"/>
      <x:c r="H22" s="234"/>
      <x:c r="I22" s="234"/>
      <x:c r="J22" s="236"/>
      <x:c r="K22" s="237"/>
      <x:c r="L22" s="238"/>
      <x:c r="M22" s="237"/>
      <x:c r="N22" s="236"/>
      <x:c r="O22" s="236"/>
      <x:c r="P22" s="236"/>
      <x:c r="Q22" s="236"/>
      <x:c r="R22" s="236"/>
      <x:c r="S22" s="234"/>
      <x:c r="T22" s="234"/>
    </x:row>
    <x:row r="23" ht="38" customHeight="1">
      <x:c r="A23" s="233"/>
      <x:c r="B23" s="234"/>
      <x:c r="C23" s="234"/>
      <x:c r="D23" s="234"/>
      <x:c r="E23" s="234"/>
      <x:c r="F23" s="234"/>
      <x:c r="G23" s="235"/>
      <x:c r="H23" s="234"/>
      <x:c r="I23" s="234"/>
      <x:c r="J23" s="236"/>
      <x:c r="K23" s="237"/>
      <x:c r="L23" s="238"/>
      <x:c r="M23" s="237"/>
      <x:c r="N23" s="236"/>
      <x:c r="O23" s="236"/>
      <x:c r="P23" s="236"/>
      <x:c r="Q23" s="236"/>
      <x:c r="R23" s="236"/>
      <x:c r="S23" s="234"/>
      <x:c r="T23" s="234"/>
    </x:row>
    <x:row r="24" ht="38" customHeight="1">
      <x:c r="A24" s="233"/>
      <x:c r="B24" s="234"/>
      <x:c r="C24" s="234"/>
      <x:c r="D24" s="234"/>
      <x:c r="E24" s="234"/>
      <x:c r="F24" s="234"/>
      <x:c r="G24" s="235"/>
      <x:c r="H24" s="234"/>
      <x:c r="I24" s="234"/>
      <x:c r="J24" s="236"/>
      <x:c r="K24" s="237"/>
      <x:c r="L24" s="238"/>
      <x:c r="M24" s="237"/>
      <x:c r="N24" s="236"/>
      <x:c r="O24" s="236"/>
      <x:c r="P24" s="236"/>
      <x:c r="Q24" s="236"/>
      <x:c r="R24" s="236"/>
      <x:c r="S24" s="234"/>
      <x:c r="T24" s="234"/>
    </x:row>
    <x:row r="25" ht="38" customHeight="1">
      <x:c r="A25" s="233"/>
      <x:c r="B25" s="234"/>
      <x:c r="C25" s="234"/>
      <x:c r="D25" s="234"/>
      <x:c r="E25" s="234"/>
      <x:c r="F25" s="234"/>
      <x:c r="G25" s="235"/>
      <x:c r="H25" s="234"/>
      <x:c r="I25" s="234"/>
      <x:c r="J25" s="236"/>
      <x:c r="K25" s="237"/>
      <x:c r="L25" s="238"/>
      <x:c r="M25" s="237"/>
      <x:c r="N25" s="236"/>
      <x:c r="O25" s="236"/>
      <x:c r="P25" s="236"/>
      <x:c r="Q25" s="236"/>
      <x:c r="R25" s="236"/>
      <x:c r="S25" s="234"/>
      <x:c r="T25" s="234"/>
    </x:row>
    <x:row r="26" ht="38" customHeight="1">
      <x:c r="A26" s="233"/>
      <x:c r="B26" s="234"/>
      <x:c r="C26" s="234"/>
      <x:c r="D26" s="234"/>
      <x:c r="E26" s="234"/>
      <x:c r="F26" s="234"/>
      <x:c r="G26" s="235"/>
      <x:c r="H26" s="234"/>
      <x:c r="I26" s="234"/>
      <x:c r="J26" s="236"/>
      <x:c r="K26" s="237"/>
      <x:c r="L26" s="238"/>
      <x:c r="M26" s="237"/>
      <x:c r="N26" s="236"/>
      <x:c r="O26" s="236"/>
      <x:c r="P26" s="236"/>
      <x:c r="Q26" s="236"/>
      <x:c r="R26" s="236"/>
      <x:c r="S26" s="234"/>
      <x:c r="T26" s="234"/>
    </x:row>
    <x:row r="27" ht="38" customHeight="1">
      <x:c r="A27" s="233"/>
      <x:c r="B27" s="234"/>
      <x:c r="C27" s="234"/>
      <x:c r="D27" s="234"/>
      <x:c r="E27" s="234"/>
      <x:c r="F27" s="234"/>
      <x:c r="G27" s="235"/>
      <x:c r="H27" s="234"/>
      <x:c r="I27" s="234"/>
      <x:c r="J27" s="236"/>
      <x:c r="K27" s="237"/>
      <x:c r="L27" s="238"/>
      <x:c r="M27" s="237"/>
      <x:c r="N27" s="236"/>
      <x:c r="O27" s="236"/>
      <x:c r="P27" s="236"/>
      <x:c r="Q27" s="236"/>
      <x:c r="R27" s="236"/>
      <x:c r="S27" s="234"/>
      <x:c r="T27" s="234"/>
    </x:row>
    <x:row r="28" ht="38" customHeight="1">
      <x:c r="A28" s="233"/>
      <x:c r="B28" s="234"/>
      <x:c r="C28" s="234"/>
      <x:c r="D28" s="234"/>
      <x:c r="E28" s="234"/>
      <x:c r="F28" s="234"/>
      <x:c r="G28" s="235"/>
      <x:c r="H28" s="234"/>
      <x:c r="I28" s="234"/>
      <x:c r="J28" s="236"/>
      <x:c r="K28" s="237"/>
      <x:c r="L28" s="238"/>
      <x:c r="M28" s="237"/>
      <x:c r="N28" s="236"/>
      <x:c r="O28" s="236"/>
      <x:c r="P28" s="236"/>
      <x:c r="Q28" s="236"/>
      <x:c r="R28" s="236"/>
      <x:c r="S28" s="234"/>
      <x:c r="T28" s="234"/>
    </x:row>
    <x:row r="29" ht="38" customHeight="1">
      <x:c r="A29" s="233"/>
      <x:c r="B29" s="234"/>
      <x:c r="C29" s="234"/>
      <x:c r="D29" s="234"/>
      <x:c r="E29" s="234"/>
      <x:c r="F29" s="234"/>
      <x:c r="G29" s="235"/>
      <x:c r="H29" s="234"/>
      <x:c r="I29" s="234"/>
      <x:c r="J29" s="236"/>
      <x:c r="K29" s="237"/>
      <x:c r="L29" s="238"/>
      <x:c r="M29" s="237"/>
      <x:c r="N29" s="236"/>
      <x:c r="O29" s="236"/>
      <x:c r="P29" s="236"/>
      <x:c r="Q29" s="236"/>
      <x:c r="R29" s="236"/>
      <x:c r="S29" s="234"/>
      <x:c r="T29" s="234"/>
    </x:row>
    <x:row r="30" ht="38" customHeight="1">
      <x:c r="A30" s="233"/>
      <x:c r="B30" s="234"/>
      <x:c r="C30" s="234"/>
      <x:c r="D30" s="234"/>
      <x:c r="E30" s="234"/>
      <x:c r="F30" s="234"/>
      <x:c r="G30" s="235"/>
      <x:c r="H30" s="234"/>
      <x:c r="I30" s="234"/>
      <x:c r="J30" s="236"/>
      <x:c r="K30" s="237"/>
      <x:c r="L30" s="238"/>
      <x:c r="M30" s="237"/>
      <x:c r="N30" s="236"/>
      <x:c r="O30" s="236"/>
      <x:c r="P30" s="236"/>
      <x:c r="Q30" s="236"/>
      <x:c r="R30" s="236"/>
      <x:c r="S30" s="234"/>
      <x:c r="T30" s="234"/>
    </x:row>
    <x:row r="31" ht="38" customHeight="1">
      <x:c r="A31" s="233"/>
      <x:c r="B31" s="234"/>
      <x:c r="C31" s="234"/>
      <x:c r="D31" s="234"/>
      <x:c r="E31" s="234"/>
      <x:c r="F31" s="234"/>
      <x:c r="G31" s="235"/>
      <x:c r="H31" s="234"/>
      <x:c r="I31" s="234"/>
      <x:c r="J31" s="236"/>
      <x:c r="K31" s="237"/>
      <x:c r="L31" s="238"/>
      <x:c r="M31" s="237"/>
      <x:c r="N31" s="236"/>
      <x:c r="O31" s="236"/>
      <x:c r="P31" s="236"/>
      <x:c r="Q31" s="236"/>
      <x:c r="R31" s="236"/>
      <x:c r="S31" s="234"/>
      <x:c r="T31" s="234"/>
    </x:row>
    <x:row r="32" ht="38" customHeight="1">
      <x:c r="A32" s="233"/>
      <x:c r="B32" s="234"/>
      <x:c r="C32" s="234"/>
      <x:c r="D32" s="234"/>
      <x:c r="E32" s="234"/>
      <x:c r="F32" s="234"/>
      <x:c r="G32" s="235"/>
      <x:c r="H32" s="234"/>
      <x:c r="I32" s="234"/>
      <x:c r="J32" s="236"/>
      <x:c r="K32" s="237"/>
      <x:c r="L32" s="238"/>
      <x:c r="M32" s="237"/>
      <x:c r="N32" s="236"/>
      <x:c r="O32" s="236"/>
      <x:c r="P32" s="236"/>
      <x:c r="Q32" s="236"/>
      <x:c r="R32" s="236"/>
      <x:c r="S32" s="234"/>
      <x:c r="T32" s="234"/>
    </x:row>
    <x:row r="33" ht="38" customHeight="1">
      <x:c r="A33" s="233"/>
      <x:c r="B33" s="234"/>
      <x:c r="C33" s="234"/>
      <x:c r="D33" s="234"/>
      <x:c r="E33" s="234"/>
      <x:c r="F33" s="234"/>
      <x:c r="G33" s="235"/>
      <x:c r="H33" s="234"/>
      <x:c r="I33" s="234"/>
      <x:c r="J33" s="236"/>
      <x:c r="K33" s="237"/>
      <x:c r="L33" s="238"/>
      <x:c r="M33" s="237"/>
      <x:c r="N33" s="236"/>
      <x:c r="O33" s="236"/>
      <x:c r="P33" s="236"/>
      <x:c r="Q33" s="236"/>
      <x:c r="R33" s="236"/>
      <x:c r="S33" s="234"/>
      <x:c r="T33" s="234"/>
    </x:row>
    <x:row r="34" ht="38" customHeight="1">
      <x:c r="A34" s="233"/>
      <x:c r="B34" s="234"/>
      <x:c r="C34" s="234"/>
      <x:c r="D34" s="234"/>
      <x:c r="E34" s="234"/>
      <x:c r="F34" s="234"/>
      <x:c r="G34" s="235"/>
      <x:c r="H34" s="234"/>
      <x:c r="I34" s="234"/>
      <x:c r="J34" s="236"/>
      <x:c r="K34" s="237"/>
      <x:c r="L34" s="238"/>
      <x:c r="M34" s="237"/>
      <x:c r="N34" s="236"/>
      <x:c r="O34" s="236"/>
      <x:c r="P34" s="236"/>
      <x:c r="Q34" s="236"/>
      <x:c r="R34" s="236"/>
      <x:c r="S34" s="234"/>
      <x:c r="T34" s="234"/>
    </x:row>
  </x:sheetData>
  <x:mergeCells>
    <x:mergeCell ref="A1:T1"/>
    <x:mergeCell ref="A2:T2"/>
  </x:mergeCells>
  <x:conditionalFormatting sqref="S5:S34">
    <x:cfRule type="containsText" dxfId="0" priority="1" operator="containsText" text="待审核"/>
    <x:cfRule type="containsText" dxfId="1" priority="2" operator="containsText" text="已发布"/>
  </x:conditionalFormatting>
  <x:dataValidations count="2">
    <x:dataValidation type="list" sqref="S5:S34">
      <x:formula1>"待选题,待审核,已拍摄,已发布,已复盘,放弃"</x:formula1>
    </x:dataValidation>
    <x:dataValidation type="list" sqref="C5:C34">
      <x:formula1>"社会热点,AI/科技,消费/生活,职场,互联网,国际趣闻,娱乐,体育,政策/公共议题"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294824878a4c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34" hidden="0" customWidth="1"/>
    <x:col min="17" max="17" width="48" hidden="0" customWidth="1"/>
  </x:cols>
  <x:sheetData>
    <x:row r="1" ht="34" customHeight="1">
      <x:c r="A1" s="221" t="str">
        <x:v>旧定位候选评分基线｜2026-07-15</x:v>
      </x:c>
      <x:c r="B1" s="221" t="str">
        <x:v>每日候选选题评分｜2026-07-15</x:v>
      </x:c>
      <x:c r="C1" s="221" t="str">
        <x:v>每日候选选题评分｜2026-07-15</x:v>
      </x:c>
      <x:c r="D1" s="221" t="str">
        <x:v>每日候选选题评分｜2026-07-15</x:v>
      </x:c>
      <x:c r="E1" s="221" t="str">
        <x:v>每日候选选题评分｜2026-07-15</x:v>
      </x:c>
      <x:c r="F1" s="221" t="str">
        <x:v>每日候选选题评分｜2026-07-15</x:v>
      </x:c>
      <x:c r="G1" s="221" t="str">
        <x:v>每日候选选题评分｜2026-07-15</x:v>
      </x:c>
      <x:c r="H1" s="221" t="str">
        <x:v>每日候选选题评分｜2026-07-15</x:v>
      </x:c>
      <x:c r="I1" s="221" t="str">
        <x:v>每日候选选题评分｜2026-07-15</x:v>
      </x:c>
      <x:c r="J1" s="221" t="str">
        <x:v>每日候选选题评分｜2026-07-15</x:v>
      </x:c>
      <x:c r="K1" s="221" t="str">
        <x:v>每日候选选题评分｜2026-07-15</x:v>
      </x:c>
      <x:c r="L1" s="221" t="str">
        <x:v>每日候选选题评分｜2026-07-15</x:v>
      </x:c>
      <x:c r="M1" s="221" t="str">
        <x:v>每日候选选题评分｜2026-07-15</x:v>
      </x:c>
      <x:c r="N1" s="221" t="str">
        <x:v>每日候选选题评分｜2026-07-15</x:v>
      </x:c>
      <x:c r="O1" s="221" t="str">
        <x:v>每日候选选题评分｜2026-07-15</x:v>
      </x:c>
      <x:c r="P1" s="221" t="str">
        <x:v>每日候选选题评分｜2026-07-15</x:v>
      </x:c>
      <x:c r="Q1" s="221" t="str">
        <x:v>每日候选选题评分｜2026-07-15</x:v>
      </x:c>
    </x:row>
    <x:row r="2">
      <x:c r="A2" s="241" t="str">
        <x:v>旧评分体系强调热点时效、相关、新奇和可信度；保留用于与成长型评分比较。</x:v>
      </x:c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4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</x:row>
    <x:row r="4" ht="34" customHeight="1">
      <x:c r="A4" s="224" t="str">
        <x:v>日期</x:v>
      </x:c>
      <x:c r="B4" s="225" t="str">
        <x:v>候选</x:v>
      </x:c>
      <x:c r="C4" s="225" t="str">
        <x:v>类型</x:v>
      </x:c>
      <x:c r="D4" s="225" t="str">
        <x:v>时效</x:v>
      </x:c>
      <x:c r="E4" s="225" t="str">
        <x:v>相关</x:v>
      </x:c>
      <x:c r="F4" s="225" t="str">
        <x:v>新奇</x:v>
      </x:c>
      <x:c r="G4" s="225" t="str">
        <x:v>可讲</x:v>
      </x:c>
      <x:c r="H4" s="225" t="str">
        <x:v>观点</x:v>
      </x:c>
      <x:c r="I4" s="225" t="str">
        <x:v>互动</x:v>
      </x:c>
      <x:c r="J4" s="225" t="str">
        <x:v>可信</x:v>
      </x:c>
      <x:c r="K4" s="225" t="str">
        <x:v>风险</x:v>
      </x:c>
      <x:c r="L4" s="225" t="str">
        <x:v>正向加权分</x:v>
      </x:c>
      <x:c r="M4" s="225" t="str">
        <x:v>风险扣分</x:v>
      </x:c>
      <x:c r="N4" s="225" t="str">
        <x:v>推荐指数</x:v>
      </x:c>
      <x:c r="O4" s="225" t="str">
        <x:v>结论</x:v>
      </x:c>
      <x:c r="P4" s="225" t="str">
        <x:v>推荐/不推荐原因</x:v>
      </x:c>
      <x:c r="Q4" s="226" t="str">
        <x:v>主要来源</x:v>
      </x:c>
    </x:row>
    <x:row r="5" ht="54" customHeight="1">
      <x:c r="A5" s="227" t="n">
        <x:v>46218</x:v>
      </x:c>
      <x:c r="B5" s="228" t="str">
        <x:v>新能源车“平均车龄1.8年”误读</x:v>
      </x:c>
      <x:c r="C5" s="228" t="str">
        <x:v>消费/科技/数据素养</x:v>
      </x:c>
      <x:c r="D5" s="229" t="n">
        <x:v>9</x:v>
      </x:c>
      <x:c r="E5" s="229" t="n">
        <x:v>9</x:v>
      </x:c>
      <x:c r="F5" s="229" t="n">
        <x:v>9</x:v>
      </x:c>
      <x:c r="G5" s="229" t="n">
        <x:v>10</x:v>
      </x:c>
      <x:c r="H5" s="229" t="n">
        <x:v>9</x:v>
      </x:c>
      <x:c r="I5" s="229" t="n">
        <x:v>9</x:v>
      </x:c>
      <x:c r="J5" s="229" t="n">
        <x:v>9</x:v>
      </x:c>
      <x:c r="K5" s="229" t="n">
        <x:v>3</x:v>
      </x:c>
      <x:c r="L5" s="242" t="n">
        <x:f>(D5*15+E5*15+F5*12+G5*15+H5*13+I5*12+J5*18)/10</x:f>
        <x:v>91.5</x:v>
      </x:c>
      <x:c r="M5" s="242" t="n">
        <x:f>MAX(0,K5-3)*2.5</x:f>
        <x:v>0</x:v>
      </x:c>
      <x:c r="N5" s="242" t="n">
        <x:f>L5-M5</x:f>
        <x:v>91.5</x:v>
      </x:c>
      <x:c r="O5" s="228" t="str">
        <x:v>主选题</x:v>
      </x:c>
      <x:c r="P5" s="228" t="str">
        <x:v>跨抖音和小红书；口径反常识、可核验、风险低</x:v>
      </x:c>
      <x:c r="Q5" s="228" t="str">
        <x:v>https://www.eeo.com.cn/2026/0714/817225.shtml</x:v>
      </x:c>
    </x:row>
    <x:row r="6" ht="54" customHeight="1">
      <x:c r="A6" s="233" t="n">
        <x:v>46218</x:v>
      </x:c>
      <x:c r="B6" s="234" t="str">
        <x:v>AI拟人化互动服务新规施行</x:v>
      </x:c>
      <x:c r="C6" s="234" t="str">
        <x:v>AI/社会/政策</x:v>
      </x:c>
      <x:c r="D6" s="235" t="n">
        <x:v>10</x:v>
      </x:c>
      <x:c r="E6" s="235" t="n">
        <x:v>9</x:v>
      </x:c>
      <x:c r="F6" s="235" t="n">
        <x:v>9</x:v>
      </x:c>
      <x:c r="G6" s="235" t="n">
        <x:v>9</x:v>
      </x:c>
      <x:c r="H6" s="235" t="n">
        <x:v>10</x:v>
      </x:c>
      <x:c r="I6" s="235" t="n">
        <x:v>10</x:v>
      </x:c>
      <x:c r="J6" s="235" t="n">
        <x:v>10</x:v>
      </x:c>
      <x:c r="K6" s="235" t="n">
        <x:v>6</x:v>
      </x:c>
      <x:c r="L6" s="243" t="n">
        <x:f>(D6*15+E6*15+F6*12+G6*15+H6*13+I6*12+J6*18)/10</x:f>
        <x:v>95.8</x:v>
      </x:c>
      <x:c r="M6" s="243" t="n">
        <x:f>MAX(0,K6-3)*2.5</x:f>
        <x:v>7.5</x:v>
      </x:c>
      <x:c r="N6" s="243" t="n">
        <x:f>L6-M6</x:f>
        <x:v>88.3</x:v>
      </x:c>
      <x:c r="O6" s="234" t="str">
        <x:v>备选1</x:v>
      </x:c>
      <x:c r="P6" s="234" t="str">
        <x:v>时效与互动强，但法规措辞需人工审核</x:v>
      </x:c>
      <x:c r="Q6" s="234" t="str">
        <x:v>https://www.cac.gov.cn/2026-04/10/c_1777558395078289.htm</x:v>
      </x:c>
    </x:row>
    <x:row r="7" ht="54" customHeight="1">
      <x:c r="A7" s="233" t="n">
        <x:v>46218</x:v>
      </x:c>
      <x:c r="B7" s="234" t="str">
        <x:v>法国队出局但姆巴佩冲击金靴</x:v>
      </x:c>
      <x:c r="C7" s="234" t="str">
        <x:v>国际/体育</x:v>
      </x:c>
      <x:c r="D7" s="235" t="n">
        <x:v>10</x:v>
      </x:c>
      <x:c r="E7" s="235" t="n">
        <x:v>8</x:v>
      </x:c>
      <x:c r="F7" s="235" t="n">
        <x:v>7</x:v>
      </x:c>
      <x:c r="G7" s="235" t="n">
        <x:v>9</x:v>
      </x:c>
      <x:c r="H7" s="235" t="n">
        <x:v>8</x:v>
      </x:c>
      <x:c r="I7" s="235" t="n">
        <x:v>9</x:v>
      </x:c>
      <x:c r="J7" s="235" t="n">
        <x:v>9</x:v>
      </x:c>
      <x:c r="K7" s="235" t="n">
        <x:v>4</x:v>
      </x:c>
      <x:c r="L7" s="243" t="n">
        <x:f>(D7*15+E7*15+F7*12+G7*15+H7*13+I7*12+J7*18)/10</x:f>
        <x:v>86.3</x:v>
      </x:c>
      <x:c r="M7" s="243" t="n">
        <x:f>MAX(0,K7-3)*2.5</x:f>
        <x:v>2.5</x:v>
      </x:c>
      <x:c r="N7" s="243" t="n">
        <x:f>L7-M7</x:f>
        <x:v>83.8</x:v>
      </x:c>
      <x:c r="O7" s="234" t="str">
        <x:v>备选2</x:v>
      </x:c>
      <x:c r="P7" s="234" t="str">
        <x:v>国际热度高，但赛事状态会持续变化</x:v>
      </x:c>
      <x:c r="Q7" s="234" t="str">
        <x:v>https://www.fifa.com/en/tournaments/mens/worldcup/canadamexicousa2026</x:v>
      </x:c>
    </x:row>
    <x:row r="8" ht="54" customHeight="1">
      <x:c r="A8" s="233" t="n">
        <x:v>46218</x:v>
      </x:c>
      <x:c r="B8" s="234" t="str">
        <x:v>人形机器人骑马射箭</x:v>
      </x:c>
      <x:c r="C8" s="234" t="str">
        <x:v>科技趣闻</x:v>
      </x:c>
      <x:c r="D8" s="235" t="n">
        <x:v>8</x:v>
      </x:c>
      <x:c r="E8" s="235" t="n">
        <x:v>8</x:v>
      </x:c>
      <x:c r="F8" s="235" t="n">
        <x:v>10</x:v>
      </x:c>
      <x:c r="G8" s="235" t="n">
        <x:v>9</x:v>
      </x:c>
      <x:c r="H8" s="235" t="n">
        <x:v>8</x:v>
      </x:c>
      <x:c r="I8" s="235" t="n">
        <x:v>8</x:v>
      </x:c>
      <x:c r="J8" s="235" t="n">
        <x:v>7</x:v>
      </x:c>
      <x:c r="K8" s="235" t="n">
        <x:v>3</x:v>
      </x:c>
      <x:c r="L8" s="243" t="n">
        <x:f>(D8*15+E8*15+F8*12+G8*15+H8*13+I8*12+J8*18)/10</x:f>
        <x:v>82.1</x:v>
      </x:c>
      <x:c r="M8" s="243" t="n">
        <x:f>MAX(0,K8-3)*2.5</x:f>
        <x:v>0</x:v>
      </x:c>
      <x:c r="N8" s="243" t="n">
        <x:f>L8-M8</x:f>
        <x:v>82.1</x:v>
      </x:c>
      <x:c r="O8" s="234" t="str">
        <x:v>不主推</x:v>
      </x:c>
      <x:c r="P8" s="234" t="str">
        <x:v>视觉新奇但技术细节和自主程度不足</x:v>
      </x:c>
      <x:c r="Q8" s="234" t="str">
        <x:v>https://www.douyin.com/hot/2572482/</x:v>
      </x:c>
    </x:row>
    <x:row r="9" ht="54" customHeight="1">
      <x:c r="A9" s="233" t="n">
        <x:v>46218</x:v>
      </x:c>
      <x:c r="B9" s="234" t="str">
        <x:v>未成年人申领网号网证</x:v>
      </x:c>
      <x:c r="C9" s="234" t="str">
        <x:v>互联网/政策</x:v>
      </x:c>
      <x:c r="D9" s="235" t="n">
        <x:v>9</x:v>
      </x:c>
      <x:c r="E9" s="235" t="n">
        <x:v>8</x:v>
      </x:c>
      <x:c r="F9" s="235" t="n">
        <x:v>7</x:v>
      </x:c>
      <x:c r="G9" s="235" t="n">
        <x:v>8</x:v>
      </x:c>
      <x:c r="H9" s="235" t="n">
        <x:v>8</x:v>
      </x:c>
      <x:c r="I9" s="235" t="n">
        <x:v>9</x:v>
      </x:c>
      <x:c r="J9" s="235" t="n">
        <x:v>10</x:v>
      </x:c>
      <x:c r="K9" s="235" t="n">
        <x:v>6</x:v>
      </x:c>
      <x:c r="L9" s="243" t="n">
        <x:f>(D9*15+E9*15+F9*12+G9*15+H9*13+I9*12+J9*18)/10</x:f>
        <x:v>85.1</x:v>
      </x:c>
      <x:c r="M9" s="243" t="n">
        <x:f>MAX(0,K9-3)*2.5</x:f>
        <x:v>7.5</x:v>
      </x:c>
      <x:c r="N9" s="243" t="n">
        <x:f>L9-M9</x:f>
        <x:v>77.6</x:v>
      </x:c>
      <x:c r="O9" s="234" t="str">
        <x:v>不主推</x:v>
      </x:c>
      <x:c r="P9" s="234" t="str">
        <x:v>公共价值高，但政策隐私议题风险较高</x:v>
      </x:c>
      <x:c r="Q9" s="234" t="str">
        <x:v>https://www.gov.cn/zhengce/content/202505/content_7022047.htm</x:v>
      </x:c>
    </x:row>
  </x:sheetData>
  <x:mergeCells>
    <x:mergeCell ref="A1:Q1"/>
    <x:mergeCell ref="A2:Q2"/>
  </x:mergeCells>
  <x:conditionalFormatting sqref="K5:K9">
    <x:cfRule type="cellIs" dxfId="2" priority="1" operator="greaterThanOrEqual">
      <x:formula>6</x:formula>
    </x:cfRule>
  </x:conditionalFormatting>
  <x:conditionalFormatting sqref="N5:N9">
    <x:cfRule type="colorScale" priority="2">
      <x:colorScale>
        <x:cfvo type="min"/>
        <x:cfvo type="percentile" val="50"/>
        <x:cfvo type="max"/>
        <x:color rgb="FFFBE2E2"/>
        <x:color rgb="FFFFF3CD"/>
        <x:color rgb="FFDF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89c1e3f808d44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32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</x:cols>
  <x:sheetData>
    <x:row r="1" ht="34" customHeight="1">
      <x:c r="A1" s="221" t="str">
        <x:v>旧定位每周复盘基线</x:v>
      </x:c>
      <x:c r="B1" s="221" t="str">
        <x:v>每7天内容复盘</x:v>
      </x:c>
      <x:c r="C1" s="221" t="str">
        <x:v>每7天内容复盘</x:v>
      </x:c>
      <x:c r="D1" s="221" t="str">
        <x:v>每7天内容复盘</x:v>
      </x:c>
      <x:c r="E1" s="221" t="str">
        <x:v>每7天内容复盘</x:v>
      </x:c>
      <x:c r="F1" s="221" t="str">
        <x:v>每7天内容复盘</x:v>
      </x:c>
      <x:c r="G1" s="221" t="str">
        <x:v>每7天内容复盘</x:v>
      </x:c>
      <x:c r="H1" s="221" t="str">
        <x:v>每7天内容复盘</x:v>
      </x:c>
      <x:c r="I1" s="221" t="str">
        <x:v>每7天内容复盘</x:v>
      </x:c>
      <x:c r="J1" s="221" t="str">
        <x:v>每7天内容复盘</x:v>
      </x:c>
      <x:c r="K1" s="221" t="str">
        <x:v>每7天内容复盘</x:v>
      </x:c>
      <x:c r="L1" s="221" t="str">
        <x:v>每7天内容复盘</x:v>
      </x:c>
      <x:c r="M1" s="221" t="str">
        <x:v>每7天内容复盘</x:v>
      </x:c>
      <x:c r="N1" s="221" t="str">
        <x:v>每7天内容复盘</x:v>
      </x:c>
    </x:row>
    <x:row r="2">
      <x:c r="A2" s="251" t="str">
        <x:v>旧热点主线复盘结构，保留不删除；新定位使用“双重复盘”工作表。</x:v>
      </x:c>
      <x:c r="B2" s="251"/>
      <x:c r="C2" s="251"/>
      <x:c r="D2" s="251"/>
      <x:c r="E2" s="251"/>
      <x:c r="F2" s="251"/>
      <x:c r="G2" s="251"/>
      <x:c r="H2" s="251"/>
      <x:c r="I2" s="251"/>
      <x:c r="J2" s="251"/>
      <x:c r="K2" s="251"/>
      <x:c r="L2" s="251"/>
      <x:c r="M2" s="251"/>
      <x:c r="N2" s="25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 ht="34" customHeight="1">
      <x:c r="A4" s="224" t="str">
        <x:v>周次</x:v>
      </x:c>
      <x:c r="B4" s="225" t="str">
        <x:v>开始日期</x:v>
      </x:c>
      <x:c r="C4" s="225" t="str">
        <x:v>结束日期</x:v>
      </x:c>
      <x:c r="D4" s="225" t="str">
        <x:v>发布数</x:v>
      </x:c>
      <x:c r="E4" s="225" t="str">
        <x:v>平均3秒留存</x:v>
      </x:c>
      <x:c r="F4" s="225" t="str">
        <x:v>平均完播率</x:v>
      </x:c>
      <x:c r="G4" s="225" t="str">
        <x:v>总播放</x:v>
      </x:c>
      <x:c r="H4" s="225" t="str">
        <x:v>互动率</x:v>
      </x:c>
      <x:c r="I4" s="225" t="str">
        <x:v>最佳类型</x:v>
      </x:c>
      <x:c r="J4" s="225" t="str">
        <x:v>最佳钩子</x:v>
      </x:c>
      <x:c r="K4" s="225" t="str">
        <x:v>增加</x:v>
      </x:c>
      <x:c r="L4" s="225" t="str">
        <x:v>减少</x:v>
      </x:c>
      <x:c r="M4" s="225" t="str">
        <x:v>停止</x:v>
      </x:c>
      <x:c r="N4" s="226" t="str">
        <x:v>表达/风险备注</x:v>
      </x:c>
    </x:row>
    <x:row r="5" ht="48" customHeight="1">
      <x:c r="A5" s="228" t="n">
        <x:v>1</x:v>
      </x:c>
      <x:c r="B5" s="227" t="n">
        <x:v>46218</x:v>
      </x:c>
      <x:c r="C5" s="227" t="n">
        <x:v>46224</x:v>
      </x:c>
      <x:c r="D5" s="228" t="n">
        <x:f>COUNTIFS('内容台账'!$A$5:$A$34,"&gt;="&amp;B5,'内容台账'!$A$5:$A$34,"&lt;="&amp;C5,'内容台账'!$S$5:$S$34,"已发布")</x:f>
        <x:v>0</x:v>
      </x:c>
      <x:c r="E5" s="252" t="n">
        <x:f>IFERROR(AVERAGEIFS('内容台账'!$K$5:$K$34,'内容台账'!$A$5:$A$34,"&gt;="&amp;B5,'内容台账'!$A$5:$A$34,"&lt;="&amp;C5,'内容台账'!$S$5:$S$34,"已发布"),0)</x:f>
        <x:v>0</x:v>
      </x:c>
      <x:c r="F5" s="252" t="n">
        <x:f>IFERROR(AVERAGEIFS('内容台账'!$M$5:$M$34,'内容台账'!$A$5:$A$34,"&gt;="&amp;B5,'内容台账'!$A$5:$A$34,"&lt;="&amp;C5,'内容台账'!$S$5:$S$34,"已发布"),0)</x:f>
        <x:v>0</x:v>
      </x:c>
      <x:c r="G5" s="253" t="n">
        <x:f>SUMIFS('内容台账'!$J$5:$J$34,'内容台账'!$A$5:$A$34,"&gt;="&amp;B5,'内容台账'!$A$5:$A$34,"&lt;="&amp;C5)</x:f>
        <x:v>0</x:v>
      </x:c>
      <x:c r="H5" s="252" t="n">
        <x:f>IFERROR((SUMIFS('内容台账'!$N$5:$N$34,'内容台账'!$A$5:$A$34,"&gt;="&amp;B5,'内容台账'!$A$5:$A$34,"&lt;="&amp;C5)+SUMIFS('内容台账'!$O$5:$O$34,'内容台账'!$A$5:$A$34,"&gt;="&amp;B5,'内容台账'!$A$5:$A$34,"&lt;="&amp;C5)+SUMIFS('内容台账'!$P$5:$P$34,'内容台账'!$A$5:$A$34,"&gt;="&amp;B5,'内容台账'!$A$5:$A$34,"&lt;="&amp;C5)+SUMIFS('内容台账'!$Q$5:$Q$34,'内容台账'!$A$5:$A$34,"&gt;="&amp;B5,'内容台账'!$A$5:$A$34,"&lt;="&amp;C5))/G5,0)</x:f>
        <x:v>0</x:v>
      </x:c>
      <x:c r="I5" s="254" t="str"/>
      <x:c r="J5" s="254" t="str"/>
      <x:c r="K5" s="254" t="str"/>
      <x:c r="L5" s="254" t="str"/>
      <x:c r="M5" s="254" t="str"/>
      <x:c r="N5" s="254" t="str"/>
    </x:row>
    <x:row r="6" ht="48" customHeight="1">
      <x:c r="A6" s="234" t="n">
        <x:v>2</x:v>
      </x:c>
      <x:c r="B6" s="233" t="n">
        <x:v>46225</x:v>
      </x:c>
      <x:c r="C6" s="233" t="n">
        <x:v>46231</x:v>
      </x:c>
      <x:c r="D6" s="234" t="n">
        <x:f>COUNTIFS('内容台账'!$A$5:$A$34,"&gt;="&amp;B6,'内容台账'!$A$5:$A$34,"&lt;="&amp;C6,'内容台账'!$S$5:$S$34,"已发布")</x:f>
        <x:v>0</x:v>
      </x:c>
      <x:c r="E6" s="255" t="n">
        <x:f>IFERROR(AVERAGEIFS('内容台账'!$K$5:$K$34,'内容台账'!$A$5:$A$34,"&gt;="&amp;B6,'内容台账'!$A$5:$A$34,"&lt;="&amp;C6,'内容台账'!$S$5:$S$34,"已发布"),0)</x:f>
        <x:v>0</x:v>
      </x:c>
      <x:c r="F6" s="255" t="n">
        <x:f>IFERROR(AVERAGEIFS('内容台账'!$M$5:$M$34,'内容台账'!$A$5:$A$34,"&gt;="&amp;B6,'内容台账'!$A$5:$A$34,"&lt;="&amp;C6,'内容台账'!$S$5:$S$34,"已发布"),0)</x:f>
        <x:v>0</x:v>
      </x:c>
      <x:c r="G6" s="256" t="n">
        <x:f>SUMIFS('内容台账'!$J$5:$J$34,'内容台账'!$A$5:$A$34,"&gt;="&amp;B6,'内容台账'!$A$5:$A$34,"&lt;="&amp;C6)</x:f>
        <x:v>0</x:v>
      </x:c>
      <x:c r="H6" s="255" t="n">
        <x:f>IFERROR((SUMIFS('内容台账'!$N$5:$N$34,'内容台账'!$A$5:$A$34,"&gt;="&amp;B6,'内容台账'!$A$5:$A$34,"&lt;="&amp;C6)+SUMIFS('内容台账'!$O$5:$O$34,'内容台账'!$A$5:$A$34,"&gt;="&amp;B6,'内容台账'!$A$5:$A$34,"&lt;="&amp;C6)+SUMIFS('内容台账'!$P$5:$P$34,'内容台账'!$A$5:$A$34,"&gt;="&amp;B6,'内容台账'!$A$5:$A$34,"&lt;="&amp;C6)+SUMIFS('内容台账'!$Q$5:$Q$34,'内容台账'!$A$5:$A$34,"&gt;="&amp;B6,'内容台账'!$A$5:$A$34,"&lt;="&amp;C6))/G6,0)</x:f>
        <x:v>0</x:v>
      </x:c>
      <x:c r="I6" s="257" t="str"/>
      <x:c r="J6" s="257" t="str"/>
      <x:c r="K6" s="257" t="str"/>
      <x:c r="L6" s="257" t="str"/>
      <x:c r="M6" s="257" t="str"/>
      <x:c r="N6" s="257" t="str"/>
    </x:row>
    <x:row r="7" ht="48" customHeight="1">
      <x:c r="A7" s="234" t="n">
        <x:v>3</x:v>
      </x:c>
      <x:c r="B7" s="233" t="n">
        <x:v>46232</x:v>
      </x:c>
      <x:c r="C7" s="233" t="n">
        <x:v>46238</x:v>
      </x:c>
      <x:c r="D7" s="234" t="n">
        <x:f>COUNTIFS('内容台账'!$A$5:$A$34,"&gt;="&amp;B7,'内容台账'!$A$5:$A$34,"&lt;="&amp;C7,'内容台账'!$S$5:$S$34,"已发布")</x:f>
        <x:v>0</x:v>
      </x:c>
      <x:c r="E7" s="255" t="n">
        <x:f>IFERROR(AVERAGEIFS('内容台账'!$K$5:$K$34,'内容台账'!$A$5:$A$34,"&gt;="&amp;B7,'内容台账'!$A$5:$A$34,"&lt;="&amp;C7,'内容台账'!$S$5:$S$34,"已发布"),0)</x:f>
        <x:v>0</x:v>
      </x:c>
      <x:c r="F7" s="255" t="n">
        <x:f>IFERROR(AVERAGEIFS('内容台账'!$M$5:$M$34,'内容台账'!$A$5:$A$34,"&gt;="&amp;B7,'内容台账'!$A$5:$A$34,"&lt;="&amp;C7,'内容台账'!$S$5:$S$34,"已发布"),0)</x:f>
        <x:v>0</x:v>
      </x:c>
      <x:c r="G7" s="256" t="n">
        <x:f>SUMIFS('内容台账'!$J$5:$J$34,'内容台账'!$A$5:$A$34,"&gt;="&amp;B7,'内容台账'!$A$5:$A$34,"&lt;="&amp;C7)</x:f>
        <x:v>0</x:v>
      </x:c>
      <x:c r="H7" s="255" t="n">
        <x:f>IFERROR((SUMIFS('内容台账'!$N$5:$N$34,'内容台账'!$A$5:$A$34,"&gt;="&amp;B7,'内容台账'!$A$5:$A$34,"&lt;="&amp;C7)+SUMIFS('内容台账'!$O$5:$O$34,'内容台账'!$A$5:$A$34,"&gt;="&amp;B7,'内容台账'!$A$5:$A$34,"&lt;="&amp;C7)+SUMIFS('内容台账'!$P$5:$P$34,'内容台账'!$A$5:$A$34,"&gt;="&amp;B7,'内容台账'!$A$5:$A$34,"&lt;="&amp;C7)+SUMIFS('内容台账'!$Q$5:$Q$34,'内容台账'!$A$5:$A$34,"&gt;="&amp;B7,'内容台账'!$A$5:$A$34,"&lt;="&amp;C7))/G7,0)</x:f>
        <x:v>0</x:v>
      </x:c>
      <x:c r="I7" s="257" t="str"/>
      <x:c r="J7" s="257" t="str"/>
      <x:c r="K7" s="257" t="str"/>
      <x:c r="L7" s="257" t="str"/>
      <x:c r="M7" s="257" t="str"/>
      <x:c r="N7" s="257" t="str"/>
    </x:row>
    <x:row r="8" ht="48" customHeight="1">
      <x:c r="A8" s="234" t="n">
        <x:v>4</x:v>
      </x:c>
      <x:c r="B8" s="233" t="n">
        <x:v>46239</x:v>
      </x:c>
      <x:c r="C8" s="233" t="n">
        <x:v>46245</x:v>
      </x:c>
      <x:c r="D8" s="234" t="n">
        <x:f>COUNTIFS('内容台账'!$A$5:$A$34,"&gt;="&amp;B8,'内容台账'!$A$5:$A$34,"&lt;="&amp;C8,'内容台账'!$S$5:$S$34,"已发布")</x:f>
        <x:v>0</x:v>
      </x:c>
      <x:c r="E8" s="255" t="n">
        <x:f>IFERROR(AVERAGEIFS('内容台账'!$K$5:$K$34,'内容台账'!$A$5:$A$34,"&gt;="&amp;B8,'内容台账'!$A$5:$A$34,"&lt;="&amp;C8,'内容台账'!$S$5:$S$34,"已发布"),0)</x:f>
        <x:v>0</x:v>
      </x:c>
      <x:c r="F8" s="255" t="n">
        <x:f>IFERROR(AVERAGEIFS('内容台账'!$M$5:$M$34,'内容台账'!$A$5:$A$34,"&gt;="&amp;B8,'内容台账'!$A$5:$A$34,"&lt;="&amp;C8,'内容台账'!$S$5:$S$34,"已发布"),0)</x:f>
        <x:v>0</x:v>
      </x:c>
      <x:c r="G8" s="256" t="n">
        <x:f>SUMIFS('内容台账'!$J$5:$J$34,'内容台账'!$A$5:$A$34,"&gt;="&amp;B8,'内容台账'!$A$5:$A$34,"&lt;="&amp;C8)</x:f>
        <x:v>0</x:v>
      </x:c>
      <x:c r="H8" s="255" t="n">
        <x:f>IFERROR((SUMIFS('内容台账'!$N$5:$N$34,'内容台账'!$A$5:$A$34,"&gt;="&amp;B8,'内容台账'!$A$5:$A$34,"&lt;="&amp;C8)+SUMIFS('内容台账'!$O$5:$O$34,'内容台账'!$A$5:$A$34,"&gt;="&amp;B8,'内容台账'!$A$5:$A$34,"&lt;="&amp;C8)+SUMIFS('内容台账'!$P$5:$P$34,'内容台账'!$A$5:$A$34,"&gt;="&amp;B8,'内容台账'!$A$5:$A$34,"&lt;="&amp;C8)+SUMIFS('内容台账'!$Q$5:$Q$34,'内容台账'!$A$5:$A$34,"&gt;="&amp;B8,'内容台账'!$A$5:$A$34,"&lt;="&amp;C8))/G8,0)</x:f>
        <x:v>0</x:v>
      </x:c>
      <x:c r="I8" s="257" t="str"/>
      <x:c r="J8" s="257" t="str"/>
      <x:c r="K8" s="257" t="str"/>
      <x:c r="L8" s="257" t="str"/>
      <x:c r="M8" s="257" t="str"/>
      <x:c r="N8" s="257" t="str"/>
    </x:row>
    <x:row r="9" ht="48" customHeight="1">
      <x:c r="A9" s="234" t="n">
        <x:v>5</x:v>
      </x:c>
      <x:c r="B9" s="233" t="n">
        <x:v>46246</x:v>
      </x:c>
      <x:c r="C9" s="233" t="n">
        <x:v>46252</x:v>
      </x:c>
      <x:c r="D9" s="234" t="n">
        <x:f>COUNTIFS('内容台账'!$A$5:$A$34,"&gt;="&amp;B9,'内容台账'!$A$5:$A$34,"&lt;="&amp;C9,'内容台账'!$S$5:$S$34,"已发布")</x:f>
        <x:v>0</x:v>
      </x:c>
      <x:c r="E9" s="255" t="n">
        <x:f>IFERROR(AVERAGEIFS('内容台账'!$K$5:$K$34,'内容台账'!$A$5:$A$34,"&gt;="&amp;B9,'内容台账'!$A$5:$A$34,"&lt;="&amp;C9,'内容台账'!$S$5:$S$34,"已发布"),0)</x:f>
        <x:v>0</x:v>
      </x:c>
      <x:c r="F9" s="255" t="n">
        <x:f>IFERROR(AVERAGEIFS('内容台账'!$M$5:$M$34,'内容台账'!$A$5:$A$34,"&gt;="&amp;B9,'内容台账'!$A$5:$A$34,"&lt;="&amp;C9,'内容台账'!$S$5:$S$34,"已发布"),0)</x:f>
        <x:v>0</x:v>
      </x:c>
      <x:c r="G9" s="256" t="n">
        <x:f>SUMIFS('内容台账'!$J$5:$J$34,'内容台账'!$A$5:$A$34,"&gt;="&amp;B9,'内容台账'!$A$5:$A$34,"&lt;="&amp;C9)</x:f>
        <x:v>0</x:v>
      </x:c>
      <x:c r="H9" s="255" t="n">
        <x:f>IFERROR((SUMIFS('内容台账'!$N$5:$N$34,'内容台账'!$A$5:$A$34,"&gt;="&amp;B9,'内容台账'!$A$5:$A$34,"&lt;="&amp;C9)+SUMIFS('内容台账'!$O$5:$O$34,'内容台账'!$A$5:$A$34,"&gt;="&amp;B9,'内容台账'!$A$5:$A$34,"&lt;="&amp;C9)+SUMIFS('内容台账'!$P$5:$P$34,'内容台账'!$A$5:$A$34,"&gt;="&amp;B9,'内容台账'!$A$5:$A$34,"&lt;="&amp;C9)+SUMIFS('内容台账'!$Q$5:$Q$34,'内容台账'!$A$5:$A$34,"&gt;="&amp;B9,'内容台账'!$A$5:$A$34,"&lt;="&amp;C9))/G9,0)</x:f>
        <x:v>0</x:v>
      </x:c>
      <x:c r="I9" s="257" t="str"/>
      <x:c r="J9" s="257" t="str"/>
      <x:c r="K9" s="257" t="str"/>
      <x:c r="L9" s="257" t="str"/>
      <x:c r="M9" s="257" t="str"/>
      <x:c r="N9" s="257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178b3e74aa84a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0" hidden="0" customWidth="1"/>
    <x:col min="4" max="4" width="34" hidden="0" customWidth="1"/>
    <x:col min="5" max="5" width="34" hidden="0" customWidth="1"/>
  </x:cols>
  <x:sheetData>
    <x:row r="1" ht="34" customHeight="1">
      <x:c r="A1" s="221" t="str">
        <x:v>旧定位评分规则基线</x:v>
      </x:c>
      <x:c r="B1" s="221" t="str">
        <x:v>选题评分规则与风险门槛</x:v>
      </x:c>
      <x:c r="C1" s="221" t="str">
        <x:v>选题评分规则与风险门槛</x:v>
      </x:c>
      <x:c r="D1" s="221" t="str">
        <x:v>选题评分规则与风险门槛</x:v>
      </x:c>
      <x:c r="E1" s="221" t="str">
        <x:v>选题评分规则与风险门槛</x:v>
      </x:c>
    </x:row>
    <x:row r="2">
      <x:c r="A2" s="223" t="str">
        <x:v>旧规则保留作比较；新定位使用“成长评分规则”。</x:v>
      </x:c>
      <x:c r="B2" s="223"/>
      <x:c r="C2" s="223"/>
      <x:c r="D2" s="223"/>
      <x:c r="E2" s="223"/>
    </x:row>
    <x:row r="3" ht="34" customHeight="1">
      <x:c r="A3" s="224" t="str">
        <x:v>维度</x:v>
      </x:c>
      <x:c r="B3" s="225" t="str">
        <x:v>权重</x:v>
      </x:c>
      <x:c r="C3" s="225" t="str">
        <x:v>1—3分</x:v>
      </x:c>
      <x:c r="D3" s="225" t="str">
        <x:v>4—7分</x:v>
      </x:c>
      <x:c r="E3" s="226" t="str">
        <x:v>8—10分</x:v>
      </x:c>
    </x:row>
    <x:row r="4" ht="42" customHeight="1">
      <x:c r="A4" s="271" t="str">
        <x:v>时效性</x:v>
      </x:c>
      <x:c r="B4" s="229" t="n">
        <x:v>15</x:v>
      </x:c>
      <x:c r="C4" s="228" t="str">
        <x:v>超过48小时或无新进展</x:v>
      </x:c>
      <x:c r="D4" s="228" t="str">
        <x:v>48小时内但热度一般</x:v>
      </x:c>
      <x:c r="E4" s="228" t="str">
        <x:v>24小时内且仍在上升</x:v>
      </x:c>
    </x:row>
    <x:row r="5" ht="42" customHeight="1">
      <x:c r="A5" s="272" t="str">
        <x:v>目标观众相关性</x:v>
      </x:c>
      <x:c r="B5" s="235" t="n">
        <x:v>15</x:v>
      </x:c>
      <x:c r="C5" s="234" t="str">
        <x:v>仅少数圈层关注</x:v>
      </x:c>
      <x:c r="D5" s="234" t="str">
        <x:v>部分用户有关</x:v>
      </x:c>
      <x:c r="E5" s="234" t="str">
        <x:v>直接影响钱、工作、生活或未来</x:v>
      </x:c>
    </x:row>
    <x:row r="6" ht="42" customHeight="1">
      <x:c r="A6" s="272" t="str">
        <x:v>新奇/反常识</x:v>
      </x:c>
      <x:c r="B6" s="235" t="n">
        <x:v>12</x:v>
      </x:c>
      <x:c r="C6" s="234" t="str">
        <x:v>普通复述</x:v>
      </x:c>
      <x:c r="D6" s="234" t="str">
        <x:v>有一个新信息</x:v>
      </x:c>
      <x:c r="E6" s="234" t="str">
        <x:v>结论或口径明显反常识</x:v>
      </x:c>
    </x:row>
    <x:row r="7" ht="42" customHeight="1">
      <x:c r="A7" s="272" t="str">
        <x:v>口播可讲性</x:v>
      </x:c>
      <x:c r="B7" s="235" t="n">
        <x:v>15</x:v>
      </x:c>
      <x:c r="C7" s="234" t="str">
        <x:v>背景复杂难讲</x:v>
      </x:c>
      <x:c r="D7" s="234" t="str">
        <x:v>可在90秒内讲清</x:v>
      </x:c>
      <x:c r="E7" s="234" t="str">
        <x:v>一句钩子即可立住冲突</x:v>
      </x:c>
    </x:row>
    <x:row r="8" ht="42" customHeight="1">
      <x:c r="A8" s="272" t="str">
        <x:v>观点延展空间</x:v>
      </x:c>
      <x:c r="B8" s="235" t="n">
        <x:v>13</x:v>
      </x:c>
      <x:c r="C8" s="234" t="str">
        <x:v>只能复述</x:v>
      </x:c>
      <x:c r="D8" s="234" t="str">
        <x:v>能给解释</x:v>
      </x:c>
      <x:c r="E8" s="234" t="str">
        <x:v>能给原创判断和生活关联</x:v>
      </x:c>
    </x:row>
    <x:row r="9" ht="42" customHeight="1">
      <x:c r="A9" s="272" t="str">
        <x:v>评论互动潜力</x:v>
      </x:c>
      <x:c r="B9" s="235" t="n">
        <x:v>12</x:v>
      </x:c>
      <x:c r="C9" s="234" t="str">
        <x:v>观众无话可说</x:v>
      </x:c>
      <x:c r="D9" s="234" t="str">
        <x:v>有分歧但问题泛</x:v>
      </x:c>
      <x:c r="E9" s="234" t="str">
        <x:v>观众能基于经验回答</x:v>
      </x:c>
    </x:row>
    <x:row r="10" ht="42" customHeight="1">
      <x:c r="A10" s="272" t="str">
        <x:v>信息可信度</x:v>
      </x:c>
      <x:c r="B10" s="235" t="n">
        <x:v>18</x:v>
      </x:c>
      <x:c r="C10" s="234" t="str">
        <x:v>单一匿名源</x:v>
      </x:c>
      <x:c r="D10" s="234" t="str">
        <x:v>可靠媒体但缺一手</x:v>
      </x:c>
      <x:c r="E10" s="234" t="str">
        <x:v>官方/一手 + 独立交叉核验</x:v>
      </x:c>
    </x:row>
    <x:row r="11" ht="42" customHeight="1">
      <x:c r="A11" s="272" t="str">
        <x:v>内容风险（不计正向权重）</x:v>
      </x:c>
      <x:c r="B11" s="235" t="n">
        <x:v>0</x:v>
      </x:c>
      <x:c r="C11" s="234" t="str">
        <x:v>1—3低风险</x:v>
      </x:c>
      <x:c r="D11" s="234" t="str">
        <x:v>4—5中风险</x:v>
      </x:c>
      <x:c r="E11" s="234" t="str">
        <x:v>6—10较高/高风险</x:v>
      </x:c>
    </x:row>
    <x:row r="12">
      <x:c r="A12" s="223"/>
      <x:c r="B12" s="223"/>
      <x:c r="C12" s="223"/>
      <x:c r="D12" s="223"/>
      <x:c r="E12" s="223"/>
    </x:row>
    <x:row r="13" ht="42" customHeight="1">
      <x:c r="A13" s="273" t="str">
        <x:v>公式：正向加权分 = Σ(维度分×权重)÷10；风险扣分 = max(0,风险-3)×2.5；推荐指数 = 正向加权分-风险扣分。</x:v>
      </x:c>
      <x:c r="B13" s="273"/>
      <x:c r="C13" s="273"/>
      <x:c r="D13" s="273"/>
      <x:c r="E13" s="273"/>
    </x:row>
    <x:row r="14">
      <x:c r="A14" s="223"/>
      <x:c r="B14" s="223"/>
      <x:c r="C14" s="223"/>
      <x:c r="D14" s="223"/>
      <x:c r="E14" s="223"/>
    </x:row>
    <x:row r="15">
      <x:c r="A15" s="274" t="str">
        <x:v>硬门槛</x:v>
      </x:c>
      <x:c r="B15" s="274" t="str">
        <x:v>规则</x:v>
      </x:c>
      <x:c r="C15" s="274" t="str"/>
      <x:c r="D15" s="274" t="str"/>
      <x:c r="E15" s="274" t="str"/>
    </x:row>
    <x:row r="16">
      <x:c r="A16" s="275" t="str">
        <x:v>主选题</x:v>
      </x:c>
      <x:c r="B16" s="276" t="str">
        <x:v>可信度≥8、可讲性≥8、关键事实至少2个来源</x:v>
      </x:c>
      <x:c r="C16" s="276" t="str"/>
      <x:c r="D16" s="276" t="str"/>
      <x:c r="E16" s="276" t="str"/>
    </x:row>
    <x:row r="17">
      <x:c r="A17" s="275" t="str">
        <x:v>风险6—7</x:v>
      </x:c>
      <x:c r="B17" s="276" t="str">
        <x:v>通常只做备选，必须人工审核</x:v>
      </x:c>
      <x:c r="C17" s="276" t="str"/>
      <x:c r="D17" s="276" t="str"/>
      <x:c r="E17" s="276" t="str"/>
    </x:row>
    <x:row r="18">
      <x:c r="A18" s="275" t="str">
        <x:v>风险8—10</x:v>
      </x:c>
      <x:c r="B18" s="276" t="str">
        <x:v>默认不做，除非有强公共价值和充分一手证据</x:v>
      </x:c>
      <x:c r="C18" s="276" t="str"/>
      <x:c r="D18" s="276" t="str"/>
      <x:c r="E18" s="276" t="str"/>
    </x:row>
  </x:sheetData>
  <x:mergeCells>
    <x:mergeCell ref="A1:E1"/>
    <x:mergeCell ref="A13:E13"/>
    <x:mergeCell ref="B16:E16"/>
    <x:mergeCell ref="B17:E17"/>
    <x:mergeCell ref="B18:E18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0" hidden="0" customWidth="1"/>
    <x:col min="5" max="5" width="24" hidden="0" customWidth="1"/>
    <x:col min="6" max="6" width="26" hidden="0" customWidth="1"/>
    <x:col min="7" max="7" width="2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4" hidden="0" customWidth="1"/>
    <x:col min="13" max="13" width="32" hidden="0" customWidth="1"/>
    <x:col min="14" max="14" width="22" hidden="0" customWidth="1"/>
    <x:col min="15" max="15" width="36" hidden="0" customWidth="1"/>
    <x:col min="16" max="16" width="34" hidden="0" customWidth="1"/>
    <x:col min="17" max="17" width="18" hidden="0" customWidth="1"/>
    <x:col min="18" max="18" width="12" hidden="0" customWidth="1"/>
    <x:col min="19" max="19" width="36" hidden="0" customWidth="1"/>
    <x:col min="20" max="20" width="42" hidden="0" customWidth="1"/>
    <x:col min="21" max="21" width="12" hidden="0" customWidth="1"/>
    <x:col min="22" max="22" width="12" hidden="0" customWidth="1"/>
    <x:col min="23" max="23" width="16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2" hidden="0" customWidth="1"/>
    <x:col min="31" max="31" width="20" hidden="0" customWidth="1"/>
    <x:col min="32" max="32" width="34" hidden="0" customWidth="1"/>
    <x:col min="33" max="33" width="34" hidden="0" customWidth="1"/>
    <x:col min="34" max="34" width="30" hidden="0" customWidth="1"/>
  </x:cols>
  <x:sheetData>
    <x:row r="1" ht="34" customHeight="1">
      <x:c r="A1" s="279" t="str">
        <x:v>30天AI实践成长内容台账</x:v>
      </x:c>
      <x:c r="B1" s="279" t="str">
        <x:v>30天AI实践成长内容台账</x:v>
      </x:c>
      <x:c r="C1" s="279" t="str">
        <x:v>30天AI实践成长内容台账</x:v>
      </x:c>
      <x:c r="D1" s="279" t="str">
        <x:v>30天AI实践成长内容台账</x:v>
      </x:c>
      <x:c r="E1" s="279" t="str">
        <x:v>30天AI实践成长内容台账</x:v>
      </x:c>
      <x:c r="F1" s="279" t="str">
        <x:v>30天AI实践成长内容台账</x:v>
      </x:c>
      <x:c r="G1" s="279" t="str">
        <x:v>30天AI实践成长内容台账</x:v>
      </x:c>
      <x:c r="H1" s="279" t="str">
        <x:v>30天AI实践成长内容台账</x:v>
      </x:c>
      <x:c r="I1" s="279" t="str">
        <x:v>30天AI实践成长内容台账</x:v>
      </x:c>
      <x:c r="J1" s="279" t="str">
        <x:v>30天AI实践成长内容台账</x:v>
      </x:c>
      <x:c r="K1" s="279" t="str">
        <x:v>30天AI实践成长内容台账</x:v>
      </x:c>
      <x:c r="L1" s="279" t="str">
        <x:v>30天AI实践成长内容台账</x:v>
      </x:c>
      <x:c r="M1" s="279" t="str">
        <x:v>30天AI实践成长内容台账</x:v>
      </x:c>
      <x:c r="N1" s="279" t="str">
        <x:v>30天AI实践成长内容台账</x:v>
      </x:c>
      <x:c r="O1" s="279" t="str">
        <x:v>30天AI实践成长内容台账</x:v>
      </x:c>
      <x:c r="P1" s="279" t="str">
        <x:v>30天AI实践成长内容台账</x:v>
      </x:c>
      <x:c r="Q1" s="279" t="str">
        <x:v>30天AI实践成长内容台账</x:v>
      </x:c>
      <x:c r="R1" s="279" t="str">
        <x:v>30天AI实践成长内容台账</x:v>
      </x:c>
      <x:c r="S1" s="279" t="str">
        <x:v>30天AI实践成长内容台账</x:v>
      </x:c>
      <x:c r="T1" s="279" t="str">
        <x:v>30天AI实践成长内容台账</x:v>
      </x:c>
      <x:c r="U1" s="279" t="str">
        <x:v>30天AI实践成长内容台账</x:v>
      </x:c>
      <x:c r="V1" s="279" t="str">
        <x:v>30天AI实践成长内容台账</x:v>
      </x:c>
      <x:c r="W1" s="279" t="str">
        <x:v>30天AI实践成长内容台账</x:v>
      </x:c>
      <x:c r="X1" s="279" t="str">
        <x:v>30天AI实践成长内容台账</x:v>
      </x:c>
      <x:c r="Y1" s="279" t="str">
        <x:v>30天AI实践成长内容台账</x:v>
      </x:c>
      <x:c r="Z1" s="279" t="str">
        <x:v>30天AI实践成长内容台账</x:v>
      </x:c>
      <x:c r="AA1" s="279" t="str">
        <x:v>30天AI实践成长内容台账</x:v>
      </x:c>
      <x:c r="AB1" s="279" t="str">
        <x:v>30天AI实践成长内容台账</x:v>
      </x:c>
      <x:c r="AC1" s="279" t="str">
        <x:v>30天AI实践成长内容台账</x:v>
      </x:c>
      <x:c r="AD1" s="279" t="str">
        <x:v>30天AI实践成长内容台账</x:v>
      </x:c>
      <x:c r="AE1" s="279" t="str">
        <x:v>30天AI实践成长内容台账</x:v>
      </x:c>
      <x:c r="AF1" s="279" t="str">
        <x:v>30天AI实践成长内容台账</x:v>
      </x:c>
      <x:c r="AG1" s="279" t="str">
        <x:v>30天AI实践成长内容台账</x:v>
      </x:c>
      <x:c r="AH1" s="279" t="str">
        <x:v>30天AI实践成长内容台账</x:v>
      </x:c>
    </x:row>
    <x:row r="2" ht="34" customHeight="1">
      <x:c r="A2" s="282" t="str">
        <x:v>先记录真实项目、证据、错误和明日挑战，再记录内容数据。旧综合热点Day 1已作为第0天基线保留；黄色指标发布后回填。</x:v>
      </x:c>
      <x:c r="B2" s="282"/>
      <x:c r="C2" s="282"/>
      <x:c r="D2" s="282"/>
      <x:c r="E2" s="282"/>
      <x:c r="F2" s="282"/>
      <x:c r="G2" s="282"/>
      <x:c r="H2" s="282"/>
      <x:c r="I2" s="282"/>
      <x:c r="J2" s="282"/>
      <x:c r="K2" s="282"/>
      <x:c r="L2" s="282"/>
      <x:c r="M2" s="282"/>
      <x:c r="N2" s="282"/>
      <x:c r="O2" s="282"/>
      <x:c r="P2" s="282"/>
      <x:c r="Q2" s="282"/>
      <x:c r="R2" s="282"/>
      <x:c r="S2" s="282"/>
      <x:c r="T2" s="282"/>
      <x:c r="U2" s="282"/>
      <x:c r="V2" s="282"/>
      <x:c r="W2" s="282"/>
      <x:c r="X2" s="282"/>
      <x:c r="Y2" s="282"/>
      <x:c r="Z2" s="282"/>
      <x:c r="AA2" s="282"/>
      <x:c r="AB2" s="282"/>
      <x:c r="AC2" s="282"/>
      <x:c r="AD2" s="282"/>
      <x:c r="AE2" s="282"/>
      <x:c r="AF2" s="282"/>
      <x:c r="AG2" s="282"/>
      <x:c r="AH2" s="282"/>
    </x:row>
    <x:row r="4" ht="38" customHeight="1">
      <x:c r="A4" s="294" t="str">
        <x:v>日期</x:v>
      </x:c>
      <x:c r="B4" s="295" t="str">
        <x:v>成长天数</x:v>
      </x:c>
      <x:c r="C4" s="295" t="str">
        <x:v>定位版本</x:v>
      </x:c>
      <x:c r="D4" s="295" t="str">
        <x:v>固定栏目</x:v>
      </x:c>
      <x:c r="E4" s="295" t="str">
        <x:v>内容支柱</x:v>
      </x:c>
      <x:c r="F4" s="295" t="str">
        <x:v>AI项目/学习路线</x:v>
      </x:c>
      <x:c r="G4" s="295" t="str">
        <x:v>昨日挑战</x:v>
      </x:c>
      <x:c r="H4" s="295" t="str">
        <x:v>今日真实进展</x:v>
      </x:c>
      <x:c r="I4" s="295" t="str">
        <x:v>可展示证据</x:v>
      </x:c>
      <x:c r="J4" s="295" t="str">
        <x:v>真实错误/返工</x:v>
      </x:c>
      <x:c r="K4" s="295" t="str">
        <x:v>观众可带走经验</x:v>
      </x:c>
      <x:c r="L4" s="295" t="str">
        <x:v>明日挑战</x:v>
      </x:c>
      <x:c r="M4" s="295" t="str">
        <x:v>候选/主选题</x:v>
      </x:c>
      <x:c r="N4" s="295" t="str">
        <x:v>热点辅助</x:v>
      </x:c>
      <x:c r="O4" s="295" t="str">
        <x:v>来源/证据</x:v>
      </x:c>
      <x:c r="P4" s="295" t="str">
        <x:v>标题</x:v>
      </x:c>
      <x:c r="Q4" s="295" t="str">
        <x:v>封面文案</x:v>
      </x:c>
      <x:c r="R4" s="295" t="str">
        <x:v>视频时长(秒)</x:v>
      </x:c>
      <x:c r="S4" s="295" t="str">
        <x:v>开头钩子</x:v>
      </x:c>
      <x:c r="T4" s="295" t="str">
        <x:v>内容结构</x:v>
      </x:c>
      <x:c r="U4" s="295" t="str">
        <x:v>播放量</x:v>
      </x:c>
      <x:c r="V4" s="295" t="str">
        <x:v>3秒留存</x:v>
      </x:c>
      <x:c r="W4" s="295" t="str">
        <x:v>平均观看时长(秒)</x:v>
      </x:c>
      <x:c r="X4" s="295" t="str">
        <x:v>完播率</x:v>
      </x:c>
      <x:c r="Y4" s="295" t="str">
        <x:v>点赞</x:v>
      </x:c>
      <x:c r="Z4" s="295" t="str">
        <x:v>评论</x:v>
      </x:c>
      <x:c r="AA4" s="295" t="str">
        <x:v>收藏</x:v>
      </x:c>
      <x:c r="AB4" s="295" t="str">
        <x:v>转发</x:v>
      </x:c>
      <x:c r="AC4" s="295" t="str">
        <x:v>涨粉</x:v>
      </x:c>
      <x:c r="AD4" s="295" t="str">
        <x:v>状态</x:v>
      </x:c>
      <x:c r="AE4" s="295" t="str">
        <x:v>隐私/版权审核</x:v>
      </x:c>
      <x:c r="AF4" s="295" t="str">
        <x:v>个人学习结论</x:v>
      </x:c>
      <x:c r="AG4" s="295" t="str">
        <x:v>账号内容结论</x:v>
      </x:c>
      <x:c r="AH4" s="296" t="str">
        <x:v>备注</x:v>
      </x:c>
    </x:row>
    <x:row r="5" ht="82" customHeight="1">
      <x:c r="A5" s="227" t="n">
        <x:v>46218</x:v>
      </x:c>
      <x:c r="B5" s="228" t="str">
        <x:v>基线</x:v>
      </x:c>
      <x:c r="C5" s="228" t="str">
        <x:v>v1 综合热点</x:v>
      </x:c>
      <x:c r="D5" s="228" t="str">
        <x:v>旧定位综合热点</x:v>
      </x:c>
      <x:c r="E5" s="228" t="str">
        <x:v>AI热点亲测和普通人解读</x:v>
      </x:c>
      <x:c r="F5" s="228" t="str">
        <x:v>热点口播工作流基线</x:v>
      </x:c>
      <x:c r="G5" s="228" t="str">
        <x:v>无</x:v>
      </x:c>
      <x:c r="H5" s="228" t="str">
        <x:v>完成多平台热点采集、评分和完整口播素材包</x:v>
      </x:c>
      <x:c r="I5" s="228" t="str">
        <x:v>runs/2026-07-15/旧版候选、素材包、来源和原始采集</x:v>
      </x:c>
      <x:c r="J5" s="228" t="str">
        <x:v>主线偏向综合热点，缺少个人AI实践连续性</x:v>
      </x:c>
      <x:c r="K5" s="228" t="str">
        <x:v>看统计数字先确认对象、分母和口径</x:v>
      </x:c>
      <x:c r="L5" s="228" t="str">
        <x:v>把现有系统增量改造成AI实践成长账号</x:v>
      </x:c>
      <x:c r="M5" s="228" t="str">
        <x:v>新能源车平均车龄1.8年误读</x:v>
      </x:c>
      <x:c r="N5" s="228" t="str">
        <x:v>抖音/小红书/微博辅助</x:v>
      </x:c>
      <x:c r="O5" s="228" t="str">
        <x:v>runs/2026-07-15/LEGACY_BASELINE.md</x:v>
      </x:c>
      <x:c r="P5" s="228" t="str">
        <x:v>平均车龄不是汽车寿命，这次很多人看反了</x:v>
      </x:c>
      <x:c r="Q5" s="228" t="str">
        <x:v>1.8年≠车寿命</x:v>
      </x:c>
      <x:c r="R5" s="229" t="n">
        <x:v>75</x:v>
      </x:c>
      <x:c r="S5" s="228" t="str">
        <x:v>一辆新能源车，平均只开1.8年？不是。</x:v>
      </x:c>
      <x:c r="T5" s="228" t="str">
        <x:v>热点冲突→口径澄清→生活比喻→判断</x:v>
      </x:c>
      <x:c r="U5" s="298"/>
      <x:c r="V5" s="299"/>
      <x:c r="W5" s="300"/>
      <x:c r="X5" s="299"/>
      <x:c r="Y5" s="298"/>
      <x:c r="Z5" s="298"/>
      <x:c r="AA5" s="298"/>
      <x:c r="AB5" s="298"/>
      <x:c r="AC5" s="298"/>
      <x:c r="AD5" s="228" t="str">
        <x:v>旧定位基线</x:v>
      </x:c>
      <x:c r="AE5" s="228" t="str">
        <x:v>已保留旧资料；发布前仍需审核</x:v>
      </x:c>
      <x:c r="AF5" s="228" t="str">
        <x:v>完成旧热点工作流基线</x:v>
      </x:c>
      <x:c r="AG5" s="228" t="str">
        <x:v>纯热点难形成个人成长主线</x:v>
      </x:c>
      <x:c r="AH5" s="228" t="str">
        <x:v>旧定位资料完整保留</x:v>
      </x:c>
    </x:row>
    <x:row r="6" ht="82" customHeight="1">
      <x:c r="A6" s="233" t="n">
        <x:v>46218</x:v>
      </x:c>
      <x:c r="B6" s="234" t="str">
        <x:v>Day 1</x:v>
      </x:c>
      <x:c r="C6" s="234" t="str">
        <x:v>v2 AI实践成长</x:v>
      </x:c>
      <x:c r="D6" s="234" t="str">
        <x:v>普通人学AI第1天</x:v>
      </x:c>
      <x:c r="E6" s="234" t="str">
        <x:v>真实AI成长日志</x:v>
      </x:c>
      <x:c r="F6" s="234" t="str">
        <x:v>口播工作流定位重构</x:v>
      </x:c>
      <x:c r="G6" s="234" t="str">
        <x:v>旧系统已经完成Day 1热点试运行，但账号主线需要重新判断</x:v>
      </x:c>
      <x:c r="H6" s="234" t="str">
        <x:v>在不删除旧资料的前提下，把热点主线改造成30天AI实践成长系统</x:v>
      </x:c>
      <x:c r="I6" s="234" t="str">
        <x:v>新版README、创作者档案、30天路线、成长模板、脚本、Excel和校验输出</x:v>
      </x:c>
      <x:c r="J6" s="234" t="str">
        <x:v>第一版系统做得很完整，但方向更像热点号；需要增量返工而不是推倒重来</x:v>
      </x:c>
      <x:c r="K6" s="234" t="str">
        <x:v>AI可以加速执行，但不能替你决定方向；先做小样验证定位，再自动化</x:v>
      </x:c>
      <x:c r="L6" s="234" t="str">
        <x:v>用新流程记录一个真实Codex任务，验证能否讲成45—90秒而不是流水账</x:v>
      </x:c>
      <x:c r="M6" s="234" t="str">
        <x:v>我让AI每天找热点，第一天先发现账号方向可能错了</x:v>
      </x:c>
      <x:c r="N6" s="234" t="str">
        <x:v>本集未使用热点</x:v>
      </x:c>
      <x:c r="O6" s="234" t="str">
        <x:v>F:/code/koubo改造文件、旧基线标记、结构校验结果</x:v>
      </x:c>
      <x:c r="P6" s="234" t="str">
        <x:v>我让AI每天找热点，结果第一天先改了方向</x:v>
      </x:c>
      <x:c r="Q6" s="234" t="str">
        <x:v>系统做完，方向错了</x:v>
      </x:c>
      <x:c r="R6" s="235" t="n">
        <x:v>80</x:v>
      </x:c>
      <x:c r="S6" s="234" t="str">
        <x:v>我让AI每天替我找选题，结果第一天就发现方向可能错了。</x:v>
      </x:c>
      <x:c r="T6" s="234" t="str">
        <x:v>结果冲突→为什么改→增量改造→可展示产物→复用经验→明日挑战</x:v>
      </x:c>
      <x:c r="U6" s="301"/>
      <x:c r="V6" s="302"/>
      <x:c r="W6" s="303"/>
      <x:c r="X6" s="302"/>
      <x:c r="Y6" s="301"/>
      <x:c r="Z6" s="301"/>
      <x:c r="AA6" s="301"/>
      <x:c r="AB6" s="301"/>
      <x:c r="AC6" s="301"/>
      <x:c r="AD6" s="234" t="str">
        <x:v>待审核</x:v>
      </x:c>
      <x:c r="AE6" s="234" t="str">
        <x:v>待用户确认可公开路径与截图</x:v>
      </x:c>
      <x:c r="AF6" s="234" t="str">
        <x:v>学会先验证问题和定位，再让AI规模化执行</x:v>
      </x:c>
      <x:c r="AG6" s="234" t="str">
        <x:v>成长故事比纯热点更能形成连续关系</x:v>
      </x:c>
      <x:c r="AH6" s="234" t="str">
        <x:v>新定位样例，未发布</x:v>
      </x:c>
    </x:row>
    <x:row r="7" ht="50" customHeight="1">
      <x:c r="A7" s="233"/>
      <x:c r="B7" s="234"/>
      <x:c r="C7" s="234"/>
      <x:c r="D7" s="234"/>
      <x:c r="E7" s="234"/>
      <x:c r="F7" s="234"/>
      <x:c r="G7" s="234"/>
      <x:c r="H7" s="234"/>
      <x:c r="I7" s="234"/>
      <x:c r="J7" s="234"/>
      <x:c r="K7" s="234"/>
      <x:c r="L7" s="234"/>
      <x:c r="M7" s="234"/>
      <x:c r="N7" s="234"/>
      <x:c r="O7" s="234"/>
      <x:c r="P7" s="234"/>
      <x:c r="Q7" s="234"/>
      <x:c r="R7" s="235"/>
      <x:c r="S7" s="234"/>
      <x:c r="T7" s="234"/>
      <x:c r="U7" s="301"/>
      <x:c r="V7" s="302"/>
      <x:c r="W7" s="303"/>
      <x:c r="X7" s="302"/>
      <x:c r="Y7" s="301"/>
      <x:c r="Z7" s="301"/>
      <x:c r="AA7" s="301"/>
      <x:c r="AB7" s="301"/>
      <x:c r="AC7" s="301"/>
      <x:c r="AD7" s="234"/>
      <x:c r="AE7" s="234"/>
      <x:c r="AF7" s="234"/>
      <x:c r="AG7" s="234"/>
      <x:c r="AH7" s="234"/>
    </x:row>
    <x:row r="8" ht="50" customHeight="1">
      <x:c r="A8" s="233"/>
      <x:c r="B8" s="234"/>
      <x:c r="C8" s="234"/>
      <x:c r="D8" s="234"/>
      <x:c r="E8" s="234"/>
      <x:c r="F8" s="234"/>
      <x:c r="G8" s="234"/>
      <x:c r="H8" s="234"/>
      <x:c r="I8" s="234"/>
      <x:c r="J8" s="234"/>
      <x:c r="K8" s="234"/>
      <x:c r="L8" s="234"/>
      <x:c r="M8" s="234"/>
      <x:c r="N8" s="234"/>
      <x:c r="O8" s="234"/>
      <x:c r="P8" s="234"/>
      <x:c r="Q8" s="234"/>
      <x:c r="R8" s="235"/>
      <x:c r="S8" s="234"/>
      <x:c r="T8" s="234"/>
      <x:c r="U8" s="301"/>
      <x:c r="V8" s="302"/>
      <x:c r="W8" s="303"/>
      <x:c r="X8" s="302"/>
      <x:c r="Y8" s="301"/>
      <x:c r="Z8" s="301"/>
      <x:c r="AA8" s="301"/>
      <x:c r="AB8" s="301"/>
      <x:c r="AC8" s="301"/>
      <x:c r="AD8" s="234"/>
      <x:c r="AE8" s="234"/>
      <x:c r="AF8" s="234"/>
      <x:c r="AG8" s="234"/>
      <x:c r="AH8" s="234"/>
    </x:row>
    <x:row r="9" ht="50" customHeight="1">
      <x:c r="A9" s="233"/>
      <x:c r="B9" s="234"/>
      <x:c r="C9" s="234"/>
      <x:c r="D9" s="234"/>
      <x:c r="E9" s="234"/>
      <x:c r="F9" s="234"/>
      <x:c r="G9" s="234"/>
      <x:c r="H9" s="234"/>
      <x:c r="I9" s="234"/>
      <x:c r="J9" s="234"/>
      <x:c r="K9" s="234"/>
      <x:c r="L9" s="234"/>
      <x:c r="M9" s="234"/>
      <x:c r="N9" s="234"/>
      <x:c r="O9" s="234"/>
      <x:c r="P9" s="234"/>
      <x:c r="Q9" s="234"/>
      <x:c r="R9" s="235"/>
      <x:c r="S9" s="234"/>
      <x:c r="T9" s="234"/>
      <x:c r="U9" s="301"/>
      <x:c r="V9" s="302"/>
      <x:c r="W9" s="303"/>
      <x:c r="X9" s="302"/>
      <x:c r="Y9" s="301"/>
      <x:c r="Z9" s="301"/>
      <x:c r="AA9" s="301"/>
      <x:c r="AB9" s="301"/>
      <x:c r="AC9" s="301"/>
      <x:c r="AD9" s="234"/>
      <x:c r="AE9" s="234"/>
      <x:c r="AF9" s="234"/>
      <x:c r="AG9" s="234"/>
      <x:c r="AH9" s="234"/>
    </x:row>
    <x:row r="10" ht="50" customHeight="1">
      <x:c r="A10" s="233"/>
      <x:c r="B10" s="234"/>
      <x:c r="C10" s="234"/>
      <x:c r="D10" s="234"/>
      <x:c r="E10" s="234"/>
      <x:c r="F10" s="234"/>
      <x:c r="G10" s="234"/>
      <x:c r="H10" s="234"/>
      <x:c r="I10" s="234"/>
      <x:c r="J10" s="234"/>
      <x:c r="K10" s="234"/>
      <x:c r="L10" s="234"/>
      <x:c r="M10" s="234"/>
      <x:c r="N10" s="234"/>
      <x:c r="O10" s="234"/>
      <x:c r="P10" s="234"/>
      <x:c r="Q10" s="234"/>
      <x:c r="R10" s="235"/>
      <x:c r="S10" s="234"/>
      <x:c r="T10" s="234"/>
      <x:c r="U10" s="301"/>
      <x:c r="V10" s="302"/>
      <x:c r="W10" s="303"/>
      <x:c r="X10" s="302"/>
      <x:c r="Y10" s="301"/>
      <x:c r="Z10" s="301"/>
      <x:c r="AA10" s="301"/>
      <x:c r="AB10" s="301"/>
      <x:c r="AC10" s="301"/>
      <x:c r="AD10" s="234"/>
      <x:c r="AE10" s="234"/>
      <x:c r="AF10" s="234"/>
      <x:c r="AG10" s="234"/>
      <x:c r="AH10" s="234"/>
    </x:row>
    <x:row r="11" ht="50" customHeight="1">
      <x:c r="A11" s="233"/>
      <x:c r="B11" s="234"/>
      <x:c r="C11" s="234"/>
      <x:c r="D11" s="234"/>
      <x:c r="E11" s="234"/>
      <x:c r="F11" s="234"/>
      <x:c r="G11" s="234"/>
      <x:c r="H11" s="234"/>
      <x:c r="I11" s="234"/>
      <x:c r="J11" s="234"/>
      <x:c r="K11" s="234"/>
      <x:c r="L11" s="234"/>
      <x:c r="M11" s="234"/>
      <x:c r="N11" s="234"/>
      <x:c r="O11" s="234"/>
      <x:c r="P11" s="234"/>
      <x:c r="Q11" s="234"/>
      <x:c r="R11" s="235"/>
      <x:c r="S11" s="234"/>
      <x:c r="T11" s="234"/>
      <x:c r="U11" s="301"/>
      <x:c r="V11" s="302"/>
      <x:c r="W11" s="303"/>
      <x:c r="X11" s="302"/>
      <x:c r="Y11" s="301"/>
      <x:c r="Z11" s="301"/>
      <x:c r="AA11" s="301"/>
      <x:c r="AB11" s="301"/>
      <x:c r="AC11" s="301"/>
      <x:c r="AD11" s="234"/>
      <x:c r="AE11" s="234"/>
      <x:c r="AF11" s="234"/>
      <x:c r="AG11" s="234"/>
      <x:c r="AH11" s="234"/>
    </x:row>
    <x:row r="12" ht="50" customHeight="1">
      <x:c r="A12" s="233"/>
      <x:c r="B12" s="234"/>
      <x:c r="C12" s="234"/>
      <x:c r="D12" s="234"/>
      <x:c r="E12" s="234"/>
      <x:c r="F12" s="234"/>
      <x:c r="G12" s="234"/>
      <x:c r="H12" s="234"/>
      <x:c r="I12" s="234"/>
      <x:c r="J12" s="234"/>
      <x:c r="K12" s="234"/>
      <x:c r="L12" s="234"/>
      <x:c r="M12" s="234"/>
      <x:c r="N12" s="234"/>
      <x:c r="O12" s="234"/>
      <x:c r="P12" s="234"/>
      <x:c r="Q12" s="234"/>
      <x:c r="R12" s="235"/>
      <x:c r="S12" s="234"/>
      <x:c r="T12" s="234"/>
      <x:c r="U12" s="301"/>
      <x:c r="V12" s="302"/>
      <x:c r="W12" s="303"/>
      <x:c r="X12" s="302"/>
      <x:c r="Y12" s="301"/>
      <x:c r="Z12" s="301"/>
      <x:c r="AA12" s="301"/>
      <x:c r="AB12" s="301"/>
      <x:c r="AC12" s="301"/>
      <x:c r="AD12" s="234"/>
      <x:c r="AE12" s="234"/>
      <x:c r="AF12" s="234"/>
      <x:c r="AG12" s="234"/>
      <x:c r="AH12" s="234"/>
    </x:row>
    <x:row r="13" ht="50" customHeight="1">
      <x:c r="A13" s="233"/>
      <x:c r="B13" s="234"/>
      <x:c r="C13" s="234"/>
      <x:c r="D13" s="234"/>
      <x:c r="E13" s="234"/>
      <x:c r="F13" s="234"/>
      <x:c r="G13" s="234"/>
      <x:c r="H13" s="234"/>
      <x:c r="I13" s="234"/>
      <x:c r="J13" s="234"/>
      <x:c r="K13" s="234"/>
      <x:c r="L13" s="234"/>
      <x:c r="M13" s="234"/>
      <x:c r="N13" s="234"/>
      <x:c r="O13" s="234"/>
      <x:c r="P13" s="234"/>
      <x:c r="Q13" s="234"/>
      <x:c r="R13" s="235"/>
      <x:c r="S13" s="234"/>
      <x:c r="T13" s="234"/>
      <x:c r="U13" s="301"/>
      <x:c r="V13" s="302"/>
      <x:c r="W13" s="303"/>
      <x:c r="X13" s="302"/>
      <x:c r="Y13" s="301"/>
      <x:c r="Z13" s="301"/>
      <x:c r="AA13" s="301"/>
      <x:c r="AB13" s="301"/>
      <x:c r="AC13" s="301"/>
      <x:c r="AD13" s="234"/>
      <x:c r="AE13" s="234"/>
      <x:c r="AF13" s="234"/>
      <x:c r="AG13" s="234"/>
      <x:c r="AH13" s="234"/>
    </x:row>
    <x:row r="14" ht="50" customHeight="1">
      <x:c r="A14" s="233"/>
      <x:c r="B14" s="234"/>
      <x:c r="C14" s="234"/>
      <x:c r="D14" s="234"/>
      <x:c r="E14" s="234"/>
      <x:c r="F14" s="234"/>
      <x:c r="G14" s="234"/>
      <x:c r="H14" s="234"/>
      <x:c r="I14" s="234"/>
      <x:c r="J14" s="234"/>
      <x:c r="K14" s="234"/>
      <x:c r="L14" s="234"/>
      <x:c r="M14" s="234"/>
      <x:c r="N14" s="234"/>
      <x:c r="O14" s="234"/>
      <x:c r="P14" s="234"/>
      <x:c r="Q14" s="234"/>
      <x:c r="R14" s="235"/>
      <x:c r="S14" s="234"/>
      <x:c r="T14" s="234"/>
      <x:c r="U14" s="301"/>
      <x:c r="V14" s="302"/>
      <x:c r="W14" s="303"/>
      <x:c r="X14" s="302"/>
      <x:c r="Y14" s="301"/>
      <x:c r="Z14" s="301"/>
      <x:c r="AA14" s="301"/>
      <x:c r="AB14" s="301"/>
      <x:c r="AC14" s="301"/>
      <x:c r="AD14" s="234"/>
      <x:c r="AE14" s="234"/>
      <x:c r="AF14" s="234"/>
      <x:c r="AG14" s="234"/>
      <x:c r="AH14" s="234"/>
    </x:row>
    <x:row r="15" ht="50" customHeight="1">
      <x:c r="A15" s="233"/>
      <x:c r="B15" s="234"/>
      <x:c r="C15" s="234"/>
      <x:c r="D15" s="234"/>
      <x:c r="E15" s="234"/>
      <x:c r="F15" s="234"/>
      <x:c r="G15" s="234"/>
      <x:c r="H15" s="234"/>
      <x:c r="I15" s="234"/>
      <x:c r="J15" s="234"/>
      <x:c r="K15" s="234"/>
      <x:c r="L15" s="234"/>
      <x:c r="M15" s="234"/>
      <x:c r="N15" s="234"/>
      <x:c r="O15" s="234"/>
      <x:c r="P15" s="234"/>
      <x:c r="Q15" s="234"/>
      <x:c r="R15" s="235"/>
      <x:c r="S15" s="234"/>
      <x:c r="T15" s="234"/>
      <x:c r="U15" s="301"/>
      <x:c r="V15" s="302"/>
      <x:c r="W15" s="303"/>
      <x:c r="X15" s="302"/>
      <x:c r="Y15" s="301"/>
      <x:c r="Z15" s="301"/>
      <x:c r="AA15" s="301"/>
      <x:c r="AB15" s="301"/>
      <x:c r="AC15" s="301"/>
      <x:c r="AD15" s="234"/>
      <x:c r="AE15" s="234"/>
      <x:c r="AF15" s="234"/>
      <x:c r="AG15" s="234"/>
      <x:c r="AH15" s="234"/>
    </x:row>
    <x:row r="16" ht="50" customHeight="1">
      <x:c r="A16" s="233"/>
      <x:c r="B16" s="234"/>
      <x:c r="C16" s="234"/>
      <x:c r="D16" s="234"/>
      <x:c r="E16" s="234"/>
      <x:c r="F16" s="234"/>
      <x:c r="G16" s="234"/>
      <x:c r="H16" s="234"/>
      <x:c r="I16" s="234"/>
      <x:c r="J16" s="234"/>
      <x:c r="K16" s="234"/>
      <x:c r="L16" s="234"/>
      <x:c r="M16" s="234"/>
      <x:c r="N16" s="234"/>
      <x:c r="O16" s="234"/>
      <x:c r="P16" s="234"/>
      <x:c r="Q16" s="234"/>
      <x:c r="R16" s="235"/>
      <x:c r="S16" s="234"/>
      <x:c r="T16" s="234"/>
      <x:c r="U16" s="301"/>
      <x:c r="V16" s="302"/>
      <x:c r="W16" s="303"/>
      <x:c r="X16" s="302"/>
      <x:c r="Y16" s="301"/>
      <x:c r="Z16" s="301"/>
      <x:c r="AA16" s="301"/>
      <x:c r="AB16" s="301"/>
      <x:c r="AC16" s="301"/>
      <x:c r="AD16" s="234"/>
      <x:c r="AE16" s="234"/>
      <x:c r="AF16" s="234"/>
      <x:c r="AG16" s="234"/>
      <x:c r="AH16" s="234"/>
    </x:row>
    <x:row r="17" ht="50" customHeight="1">
      <x:c r="A17" s="233"/>
      <x:c r="B17" s="234"/>
      <x:c r="C17" s="234"/>
      <x:c r="D17" s="234"/>
      <x:c r="E17" s="234"/>
      <x:c r="F17" s="234"/>
      <x:c r="G17" s="234"/>
      <x:c r="H17" s="234"/>
      <x:c r="I17" s="234"/>
      <x:c r="J17" s="234"/>
      <x:c r="K17" s="234"/>
      <x:c r="L17" s="234"/>
      <x:c r="M17" s="234"/>
      <x:c r="N17" s="234"/>
      <x:c r="O17" s="234"/>
      <x:c r="P17" s="234"/>
      <x:c r="Q17" s="234"/>
      <x:c r="R17" s="235"/>
      <x:c r="S17" s="234"/>
      <x:c r="T17" s="234"/>
      <x:c r="U17" s="301"/>
      <x:c r="V17" s="302"/>
      <x:c r="W17" s="303"/>
      <x:c r="X17" s="302"/>
      <x:c r="Y17" s="301"/>
      <x:c r="Z17" s="301"/>
      <x:c r="AA17" s="301"/>
      <x:c r="AB17" s="301"/>
      <x:c r="AC17" s="301"/>
      <x:c r="AD17" s="234"/>
      <x:c r="AE17" s="234"/>
      <x:c r="AF17" s="234"/>
      <x:c r="AG17" s="234"/>
      <x:c r="AH17" s="234"/>
    </x:row>
    <x:row r="18" ht="50" customHeight="1">
      <x:c r="A18" s="233"/>
      <x:c r="B18" s="234"/>
      <x:c r="C18" s="234"/>
      <x:c r="D18" s="234"/>
      <x:c r="E18" s="234"/>
      <x:c r="F18" s="234"/>
      <x:c r="G18" s="234"/>
      <x:c r="H18" s="234"/>
      <x:c r="I18" s="234"/>
      <x:c r="J18" s="234"/>
      <x:c r="K18" s="234"/>
      <x:c r="L18" s="234"/>
      <x:c r="M18" s="234"/>
      <x:c r="N18" s="234"/>
      <x:c r="O18" s="234"/>
      <x:c r="P18" s="234"/>
      <x:c r="Q18" s="234"/>
      <x:c r="R18" s="235"/>
      <x:c r="S18" s="234"/>
      <x:c r="T18" s="234"/>
      <x:c r="U18" s="301"/>
      <x:c r="V18" s="302"/>
      <x:c r="W18" s="303"/>
      <x:c r="X18" s="302"/>
      <x:c r="Y18" s="301"/>
      <x:c r="Z18" s="301"/>
      <x:c r="AA18" s="301"/>
      <x:c r="AB18" s="301"/>
      <x:c r="AC18" s="301"/>
      <x:c r="AD18" s="234"/>
      <x:c r="AE18" s="234"/>
      <x:c r="AF18" s="234"/>
      <x:c r="AG18" s="234"/>
      <x:c r="AH18" s="234"/>
    </x:row>
    <x:row r="19" ht="50" customHeight="1">
      <x:c r="A19" s="233"/>
      <x:c r="B19" s="234"/>
      <x:c r="C19" s="234"/>
      <x:c r="D19" s="234"/>
      <x:c r="E19" s="234"/>
      <x:c r="F19" s="234"/>
      <x:c r="G19" s="234"/>
      <x:c r="H19" s="234"/>
      <x:c r="I19" s="234"/>
      <x:c r="J19" s="234"/>
      <x:c r="K19" s="234"/>
      <x:c r="L19" s="234"/>
      <x:c r="M19" s="234"/>
      <x:c r="N19" s="234"/>
      <x:c r="O19" s="234"/>
      <x:c r="P19" s="234"/>
      <x:c r="Q19" s="234"/>
      <x:c r="R19" s="235"/>
      <x:c r="S19" s="234"/>
      <x:c r="T19" s="234"/>
      <x:c r="U19" s="301"/>
      <x:c r="V19" s="302"/>
      <x:c r="W19" s="303"/>
      <x:c r="X19" s="302"/>
      <x:c r="Y19" s="301"/>
      <x:c r="Z19" s="301"/>
      <x:c r="AA19" s="301"/>
      <x:c r="AB19" s="301"/>
      <x:c r="AC19" s="301"/>
      <x:c r="AD19" s="234"/>
      <x:c r="AE19" s="234"/>
      <x:c r="AF19" s="234"/>
      <x:c r="AG19" s="234"/>
      <x:c r="AH19" s="234"/>
    </x:row>
    <x:row r="20" ht="50" customHeight="1">
      <x:c r="A20" s="233"/>
      <x:c r="B20" s="234"/>
      <x:c r="C20" s="234"/>
      <x:c r="D20" s="234"/>
      <x:c r="E20" s="234"/>
      <x:c r="F20" s="234"/>
      <x:c r="G20" s="234"/>
      <x:c r="H20" s="234"/>
      <x:c r="I20" s="234"/>
      <x:c r="J20" s="234"/>
      <x:c r="K20" s="234"/>
      <x:c r="L20" s="234"/>
      <x:c r="M20" s="234"/>
      <x:c r="N20" s="234"/>
      <x:c r="O20" s="234"/>
      <x:c r="P20" s="234"/>
      <x:c r="Q20" s="234"/>
      <x:c r="R20" s="235"/>
      <x:c r="S20" s="234"/>
      <x:c r="T20" s="234"/>
      <x:c r="U20" s="301"/>
      <x:c r="V20" s="302"/>
      <x:c r="W20" s="303"/>
      <x:c r="X20" s="302"/>
      <x:c r="Y20" s="301"/>
      <x:c r="Z20" s="301"/>
      <x:c r="AA20" s="301"/>
      <x:c r="AB20" s="301"/>
      <x:c r="AC20" s="301"/>
      <x:c r="AD20" s="234"/>
      <x:c r="AE20" s="234"/>
      <x:c r="AF20" s="234"/>
      <x:c r="AG20" s="234"/>
      <x:c r="AH20" s="234"/>
    </x:row>
    <x:row r="21" ht="50" customHeight="1">
      <x:c r="A21" s="233"/>
      <x:c r="B21" s="234"/>
      <x:c r="C21" s="234"/>
      <x:c r="D21" s="234"/>
      <x:c r="E21" s="234"/>
      <x:c r="F21" s="234"/>
      <x:c r="G21" s="234"/>
      <x:c r="H21" s="234"/>
      <x:c r="I21" s="234"/>
      <x:c r="J21" s="234"/>
      <x:c r="K21" s="234"/>
      <x:c r="L21" s="234"/>
      <x:c r="M21" s="234"/>
      <x:c r="N21" s="234"/>
      <x:c r="O21" s="234"/>
      <x:c r="P21" s="234"/>
      <x:c r="Q21" s="234"/>
      <x:c r="R21" s="235"/>
      <x:c r="S21" s="234"/>
      <x:c r="T21" s="234"/>
      <x:c r="U21" s="301"/>
      <x:c r="V21" s="302"/>
      <x:c r="W21" s="303"/>
      <x:c r="X21" s="302"/>
      <x:c r="Y21" s="301"/>
      <x:c r="Z21" s="301"/>
      <x:c r="AA21" s="301"/>
      <x:c r="AB21" s="301"/>
      <x:c r="AC21" s="301"/>
      <x:c r="AD21" s="234"/>
      <x:c r="AE21" s="234"/>
      <x:c r="AF21" s="234"/>
      <x:c r="AG21" s="234"/>
      <x:c r="AH21" s="234"/>
    </x:row>
    <x:row r="22" ht="50" customHeight="1">
      <x:c r="A22" s="233"/>
      <x:c r="B22" s="234"/>
      <x:c r="C22" s="234"/>
      <x:c r="D22" s="234"/>
      <x:c r="E22" s="234"/>
      <x:c r="F22" s="234"/>
      <x:c r="G22" s="234"/>
      <x:c r="H22" s="234"/>
      <x:c r="I22" s="234"/>
      <x:c r="J22" s="234"/>
      <x:c r="K22" s="234"/>
      <x:c r="L22" s="234"/>
      <x:c r="M22" s="234"/>
      <x:c r="N22" s="234"/>
      <x:c r="O22" s="234"/>
      <x:c r="P22" s="234"/>
      <x:c r="Q22" s="234"/>
      <x:c r="R22" s="235"/>
      <x:c r="S22" s="234"/>
      <x:c r="T22" s="234"/>
      <x:c r="U22" s="301"/>
      <x:c r="V22" s="302"/>
      <x:c r="W22" s="303"/>
      <x:c r="X22" s="302"/>
      <x:c r="Y22" s="301"/>
      <x:c r="Z22" s="301"/>
      <x:c r="AA22" s="301"/>
      <x:c r="AB22" s="301"/>
      <x:c r="AC22" s="301"/>
      <x:c r="AD22" s="234"/>
      <x:c r="AE22" s="234"/>
      <x:c r="AF22" s="234"/>
      <x:c r="AG22" s="234"/>
      <x:c r="AH22" s="234"/>
    </x:row>
    <x:row r="23" ht="50" customHeight="1">
      <x:c r="A23" s="233"/>
      <x:c r="B23" s="234"/>
      <x:c r="C23" s="234"/>
      <x:c r="D23" s="234"/>
      <x:c r="E23" s="234"/>
      <x:c r="F23" s="234"/>
      <x:c r="G23" s="234"/>
      <x:c r="H23" s="234"/>
      <x:c r="I23" s="234"/>
      <x:c r="J23" s="234"/>
      <x:c r="K23" s="234"/>
      <x:c r="L23" s="234"/>
      <x:c r="M23" s="234"/>
      <x:c r="N23" s="234"/>
      <x:c r="O23" s="234"/>
      <x:c r="P23" s="234"/>
      <x:c r="Q23" s="234"/>
      <x:c r="R23" s="235"/>
      <x:c r="S23" s="234"/>
      <x:c r="T23" s="234"/>
      <x:c r="U23" s="301"/>
      <x:c r="V23" s="302"/>
      <x:c r="W23" s="303"/>
      <x:c r="X23" s="302"/>
      <x:c r="Y23" s="301"/>
      <x:c r="Z23" s="301"/>
      <x:c r="AA23" s="301"/>
      <x:c r="AB23" s="301"/>
      <x:c r="AC23" s="301"/>
      <x:c r="AD23" s="234"/>
      <x:c r="AE23" s="234"/>
      <x:c r="AF23" s="234"/>
      <x:c r="AG23" s="234"/>
      <x:c r="AH23" s="234"/>
    </x:row>
    <x:row r="24" ht="50" customHeight="1">
      <x:c r="A24" s="233"/>
      <x:c r="B24" s="234"/>
      <x:c r="C24" s="234"/>
      <x:c r="D24" s="234"/>
      <x:c r="E24" s="234"/>
      <x:c r="F24" s="234"/>
      <x:c r="G24" s="234"/>
      <x:c r="H24" s="234"/>
      <x:c r="I24" s="234"/>
      <x:c r="J24" s="234"/>
      <x:c r="K24" s="234"/>
      <x:c r="L24" s="234"/>
      <x:c r="M24" s="234"/>
      <x:c r="N24" s="234"/>
      <x:c r="O24" s="234"/>
      <x:c r="P24" s="234"/>
      <x:c r="Q24" s="234"/>
      <x:c r="R24" s="235"/>
      <x:c r="S24" s="234"/>
      <x:c r="T24" s="234"/>
      <x:c r="U24" s="301"/>
      <x:c r="V24" s="302"/>
      <x:c r="W24" s="303"/>
      <x:c r="X24" s="302"/>
      <x:c r="Y24" s="301"/>
      <x:c r="Z24" s="301"/>
      <x:c r="AA24" s="301"/>
      <x:c r="AB24" s="301"/>
      <x:c r="AC24" s="301"/>
      <x:c r="AD24" s="234"/>
      <x:c r="AE24" s="234"/>
      <x:c r="AF24" s="234"/>
      <x:c r="AG24" s="234"/>
      <x:c r="AH24" s="234"/>
    </x:row>
    <x:row r="25" ht="50" customHeight="1">
      <x:c r="A25" s="233"/>
      <x:c r="B25" s="234"/>
      <x:c r="C25" s="234"/>
      <x:c r="D25" s="234"/>
      <x:c r="E25" s="234"/>
      <x:c r="F25" s="234"/>
      <x:c r="G25" s="234"/>
      <x:c r="H25" s="234"/>
      <x:c r="I25" s="234"/>
      <x:c r="J25" s="234"/>
      <x:c r="K25" s="234"/>
      <x:c r="L25" s="234"/>
      <x:c r="M25" s="234"/>
      <x:c r="N25" s="234"/>
      <x:c r="O25" s="234"/>
      <x:c r="P25" s="234"/>
      <x:c r="Q25" s="234"/>
      <x:c r="R25" s="235"/>
      <x:c r="S25" s="234"/>
      <x:c r="T25" s="234"/>
      <x:c r="U25" s="301"/>
      <x:c r="V25" s="302"/>
      <x:c r="W25" s="303"/>
      <x:c r="X25" s="302"/>
      <x:c r="Y25" s="301"/>
      <x:c r="Z25" s="301"/>
      <x:c r="AA25" s="301"/>
      <x:c r="AB25" s="301"/>
      <x:c r="AC25" s="301"/>
      <x:c r="AD25" s="234"/>
      <x:c r="AE25" s="234"/>
      <x:c r="AF25" s="234"/>
      <x:c r="AG25" s="234"/>
      <x:c r="AH25" s="234"/>
    </x:row>
    <x:row r="26" ht="50" customHeight="1">
      <x:c r="A26" s="233"/>
      <x:c r="B26" s="234"/>
      <x:c r="C26" s="234"/>
      <x:c r="D26" s="234"/>
      <x:c r="E26" s="234"/>
      <x:c r="F26" s="234"/>
      <x:c r="G26" s="234"/>
      <x:c r="H26" s="234"/>
      <x:c r="I26" s="234"/>
      <x:c r="J26" s="234"/>
      <x:c r="K26" s="234"/>
      <x:c r="L26" s="234"/>
      <x:c r="M26" s="234"/>
      <x:c r="N26" s="234"/>
      <x:c r="O26" s="234"/>
      <x:c r="P26" s="234"/>
      <x:c r="Q26" s="234"/>
      <x:c r="R26" s="235"/>
      <x:c r="S26" s="234"/>
      <x:c r="T26" s="234"/>
      <x:c r="U26" s="301"/>
      <x:c r="V26" s="302"/>
      <x:c r="W26" s="303"/>
      <x:c r="X26" s="302"/>
      <x:c r="Y26" s="301"/>
      <x:c r="Z26" s="301"/>
      <x:c r="AA26" s="301"/>
      <x:c r="AB26" s="301"/>
      <x:c r="AC26" s="301"/>
      <x:c r="AD26" s="234"/>
      <x:c r="AE26" s="234"/>
      <x:c r="AF26" s="234"/>
      <x:c r="AG26" s="234"/>
      <x:c r="AH26" s="234"/>
    </x:row>
    <x:row r="27" ht="50" customHeight="1">
      <x:c r="A27" s="233"/>
      <x:c r="B27" s="234"/>
      <x:c r="C27" s="234"/>
      <x:c r="D27" s="234"/>
      <x:c r="E27" s="234"/>
      <x:c r="F27" s="234"/>
      <x:c r="G27" s="234"/>
      <x:c r="H27" s="234"/>
      <x:c r="I27" s="234"/>
      <x:c r="J27" s="234"/>
      <x:c r="K27" s="234"/>
      <x:c r="L27" s="234"/>
      <x:c r="M27" s="234"/>
      <x:c r="N27" s="234"/>
      <x:c r="O27" s="234"/>
      <x:c r="P27" s="234"/>
      <x:c r="Q27" s="234"/>
      <x:c r="R27" s="235"/>
      <x:c r="S27" s="234"/>
      <x:c r="T27" s="234"/>
      <x:c r="U27" s="301"/>
      <x:c r="V27" s="302"/>
      <x:c r="W27" s="303"/>
      <x:c r="X27" s="302"/>
      <x:c r="Y27" s="301"/>
      <x:c r="Z27" s="301"/>
      <x:c r="AA27" s="301"/>
      <x:c r="AB27" s="301"/>
      <x:c r="AC27" s="301"/>
      <x:c r="AD27" s="234"/>
      <x:c r="AE27" s="234"/>
      <x:c r="AF27" s="234"/>
      <x:c r="AG27" s="234"/>
      <x:c r="AH27" s="234"/>
    </x:row>
    <x:row r="28" ht="50" customHeight="1">
      <x:c r="A28" s="233"/>
      <x:c r="B28" s="234"/>
      <x:c r="C28" s="234"/>
      <x:c r="D28" s="234"/>
      <x:c r="E28" s="234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4"/>
      <x:c r="P28" s="234"/>
      <x:c r="Q28" s="234"/>
      <x:c r="R28" s="235"/>
      <x:c r="S28" s="234"/>
      <x:c r="T28" s="234"/>
      <x:c r="U28" s="301"/>
      <x:c r="V28" s="302"/>
      <x:c r="W28" s="303"/>
      <x:c r="X28" s="302"/>
      <x:c r="Y28" s="301"/>
      <x:c r="Z28" s="301"/>
      <x:c r="AA28" s="301"/>
      <x:c r="AB28" s="301"/>
      <x:c r="AC28" s="301"/>
      <x:c r="AD28" s="234"/>
      <x:c r="AE28" s="234"/>
      <x:c r="AF28" s="234"/>
      <x:c r="AG28" s="234"/>
      <x:c r="AH28" s="234"/>
    </x:row>
    <x:row r="29" ht="50" customHeight="1">
      <x:c r="A29" s="233"/>
      <x:c r="B29" s="234"/>
      <x:c r="C29" s="234"/>
      <x:c r="D29" s="234"/>
      <x:c r="E29" s="234"/>
      <x:c r="F29" s="234"/>
      <x:c r="G29" s="234"/>
      <x:c r="H29" s="234"/>
      <x:c r="I29" s="234"/>
      <x:c r="J29" s="234"/>
      <x:c r="K29" s="234"/>
      <x:c r="L29" s="234"/>
      <x:c r="M29" s="234"/>
      <x:c r="N29" s="234"/>
      <x:c r="O29" s="234"/>
      <x:c r="P29" s="234"/>
      <x:c r="Q29" s="234"/>
      <x:c r="R29" s="235"/>
      <x:c r="S29" s="234"/>
      <x:c r="T29" s="234"/>
      <x:c r="U29" s="301"/>
      <x:c r="V29" s="302"/>
      <x:c r="W29" s="303"/>
      <x:c r="X29" s="302"/>
      <x:c r="Y29" s="301"/>
      <x:c r="Z29" s="301"/>
      <x:c r="AA29" s="301"/>
      <x:c r="AB29" s="301"/>
      <x:c r="AC29" s="301"/>
      <x:c r="AD29" s="234"/>
      <x:c r="AE29" s="234"/>
      <x:c r="AF29" s="234"/>
      <x:c r="AG29" s="234"/>
      <x:c r="AH29" s="234"/>
    </x:row>
    <x:row r="30" ht="50" customHeight="1">
      <x:c r="A30" s="233"/>
      <x:c r="B30" s="234"/>
      <x:c r="C30" s="234"/>
      <x:c r="D30" s="234"/>
      <x:c r="E30" s="234"/>
      <x:c r="F30" s="234"/>
      <x:c r="G30" s="234"/>
      <x:c r="H30" s="234"/>
      <x:c r="I30" s="234"/>
      <x:c r="J30" s="234"/>
      <x:c r="K30" s="234"/>
      <x:c r="L30" s="234"/>
      <x:c r="M30" s="234"/>
      <x:c r="N30" s="234"/>
      <x:c r="O30" s="234"/>
      <x:c r="P30" s="234"/>
      <x:c r="Q30" s="234"/>
      <x:c r="R30" s="235"/>
      <x:c r="S30" s="234"/>
      <x:c r="T30" s="234"/>
      <x:c r="U30" s="301"/>
      <x:c r="V30" s="302"/>
      <x:c r="W30" s="303"/>
      <x:c r="X30" s="302"/>
      <x:c r="Y30" s="301"/>
      <x:c r="Z30" s="301"/>
      <x:c r="AA30" s="301"/>
      <x:c r="AB30" s="301"/>
      <x:c r="AC30" s="301"/>
      <x:c r="AD30" s="234"/>
      <x:c r="AE30" s="234"/>
      <x:c r="AF30" s="234"/>
      <x:c r="AG30" s="234"/>
      <x:c r="AH30" s="234"/>
    </x:row>
    <x:row r="31" ht="50" customHeight="1">
      <x:c r="A31" s="233"/>
      <x:c r="B31" s="234"/>
      <x:c r="C31" s="234"/>
      <x:c r="D31" s="234"/>
      <x:c r="E31" s="234"/>
      <x:c r="F31" s="234"/>
      <x:c r="G31" s="234"/>
      <x:c r="H31" s="234"/>
      <x:c r="I31" s="234"/>
      <x:c r="J31" s="234"/>
      <x:c r="K31" s="234"/>
      <x:c r="L31" s="234"/>
      <x:c r="M31" s="234"/>
      <x:c r="N31" s="234"/>
      <x:c r="O31" s="234"/>
      <x:c r="P31" s="234"/>
      <x:c r="Q31" s="234"/>
      <x:c r="R31" s="235"/>
      <x:c r="S31" s="234"/>
      <x:c r="T31" s="234"/>
      <x:c r="U31" s="301"/>
      <x:c r="V31" s="302"/>
      <x:c r="W31" s="303"/>
      <x:c r="X31" s="302"/>
      <x:c r="Y31" s="301"/>
      <x:c r="Z31" s="301"/>
      <x:c r="AA31" s="301"/>
      <x:c r="AB31" s="301"/>
      <x:c r="AC31" s="301"/>
      <x:c r="AD31" s="234"/>
      <x:c r="AE31" s="234"/>
      <x:c r="AF31" s="234"/>
      <x:c r="AG31" s="234"/>
      <x:c r="AH31" s="234"/>
    </x:row>
    <x:row r="32" ht="50" customHeight="1">
      <x:c r="A32" s="233"/>
      <x:c r="B32" s="234"/>
      <x:c r="C32" s="234"/>
      <x:c r="D32" s="234"/>
      <x:c r="E32" s="234"/>
      <x:c r="F32" s="234"/>
      <x:c r="G32" s="234"/>
      <x:c r="H32" s="234"/>
      <x:c r="I32" s="234"/>
      <x:c r="J32" s="234"/>
      <x:c r="K32" s="234"/>
      <x:c r="L32" s="234"/>
      <x:c r="M32" s="234"/>
      <x:c r="N32" s="234"/>
      <x:c r="O32" s="234"/>
      <x:c r="P32" s="234"/>
      <x:c r="Q32" s="234"/>
      <x:c r="R32" s="235"/>
      <x:c r="S32" s="234"/>
      <x:c r="T32" s="234"/>
      <x:c r="U32" s="301"/>
      <x:c r="V32" s="302"/>
      <x:c r="W32" s="303"/>
      <x:c r="X32" s="302"/>
      <x:c r="Y32" s="301"/>
      <x:c r="Z32" s="301"/>
      <x:c r="AA32" s="301"/>
      <x:c r="AB32" s="301"/>
      <x:c r="AC32" s="301"/>
      <x:c r="AD32" s="234"/>
      <x:c r="AE32" s="234"/>
      <x:c r="AF32" s="234"/>
      <x:c r="AG32" s="234"/>
      <x:c r="AH32" s="234"/>
    </x:row>
    <x:row r="33" ht="50" customHeight="1">
      <x:c r="A33" s="233"/>
      <x:c r="B33" s="234"/>
      <x:c r="C33" s="234"/>
      <x:c r="D33" s="234"/>
      <x:c r="E33" s="234"/>
      <x:c r="F33" s="234"/>
      <x:c r="G33" s="234"/>
      <x:c r="H33" s="234"/>
      <x:c r="I33" s="234"/>
      <x:c r="J33" s="234"/>
      <x:c r="K33" s="234"/>
      <x:c r="L33" s="234"/>
      <x:c r="M33" s="234"/>
      <x:c r="N33" s="234"/>
      <x:c r="O33" s="234"/>
      <x:c r="P33" s="234"/>
      <x:c r="Q33" s="234"/>
      <x:c r="R33" s="235"/>
      <x:c r="S33" s="234"/>
      <x:c r="T33" s="234"/>
      <x:c r="U33" s="301"/>
      <x:c r="V33" s="302"/>
      <x:c r="W33" s="303"/>
      <x:c r="X33" s="302"/>
      <x:c r="Y33" s="301"/>
      <x:c r="Z33" s="301"/>
      <x:c r="AA33" s="301"/>
      <x:c r="AB33" s="301"/>
      <x:c r="AC33" s="301"/>
      <x:c r="AD33" s="234"/>
      <x:c r="AE33" s="234"/>
      <x:c r="AF33" s="234"/>
      <x:c r="AG33" s="234"/>
      <x:c r="AH33" s="234"/>
    </x:row>
    <x:row r="34" ht="50" customHeight="1">
      <x:c r="A34" s="233"/>
      <x:c r="B34" s="234"/>
      <x:c r="C34" s="234"/>
      <x:c r="D34" s="234"/>
      <x:c r="E34" s="234"/>
      <x:c r="F34" s="234"/>
      <x:c r="G34" s="234"/>
      <x:c r="H34" s="234"/>
      <x:c r="I34" s="234"/>
      <x:c r="J34" s="234"/>
      <x:c r="K34" s="234"/>
      <x:c r="L34" s="234"/>
      <x:c r="M34" s="234"/>
      <x:c r="N34" s="234"/>
      <x:c r="O34" s="234"/>
      <x:c r="P34" s="234"/>
      <x:c r="Q34" s="234"/>
      <x:c r="R34" s="235"/>
      <x:c r="S34" s="234"/>
      <x:c r="T34" s="234"/>
      <x:c r="U34" s="301"/>
      <x:c r="V34" s="302"/>
      <x:c r="W34" s="303"/>
      <x:c r="X34" s="302"/>
      <x:c r="Y34" s="301"/>
      <x:c r="Z34" s="301"/>
      <x:c r="AA34" s="301"/>
      <x:c r="AB34" s="301"/>
      <x:c r="AC34" s="301"/>
      <x:c r="AD34" s="234"/>
      <x:c r="AE34" s="234"/>
      <x:c r="AF34" s="234"/>
      <x:c r="AG34" s="234"/>
      <x:c r="AH34" s="234"/>
    </x:row>
    <x:row r="35" ht="50" customHeight="1">
      <x:c r="A35" s="233"/>
      <x:c r="B35" s="234"/>
      <x:c r="C35" s="234"/>
      <x:c r="D35" s="234"/>
      <x:c r="E35" s="234"/>
      <x:c r="F35" s="234"/>
      <x:c r="G35" s="234"/>
      <x:c r="H35" s="234"/>
      <x:c r="I35" s="234"/>
      <x:c r="J35" s="234"/>
      <x:c r="K35" s="234"/>
      <x:c r="L35" s="234"/>
      <x:c r="M35" s="234"/>
      <x:c r="N35" s="234"/>
      <x:c r="O35" s="234"/>
      <x:c r="P35" s="234"/>
      <x:c r="Q35" s="234"/>
      <x:c r="R35" s="235"/>
      <x:c r="S35" s="234"/>
      <x:c r="T35" s="234"/>
      <x:c r="U35" s="301"/>
      <x:c r="V35" s="302"/>
      <x:c r="W35" s="303"/>
      <x:c r="X35" s="302"/>
      <x:c r="Y35" s="301"/>
      <x:c r="Z35" s="301"/>
      <x:c r="AA35" s="301"/>
      <x:c r="AB35" s="301"/>
      <x:c r="AC35" s="301"/>
      <x:c r="AD35" s="234"/>
      <x:c r="AE35" s="234"/>
      <x:c r="AF35" s="234"/>
      <x:c r="AG35" s="234"/>
      <x:c r="AH35" s="234"/>
    </x:row>
    <x:row r="36" ht="50" customHeight="1">
      <x:c r="A36" s="233"/>
      <x:c r="B36" s="234"/>
      <x:c r="C36" s="234"/>
      <x:c r="D36" s="234"/>
      <x:c r="E36" s="234"/>
      <x:c r="F36" s="234"/>
      <x:c r="G36" s="234"/>
      <x:c r="H36" s="234"/>
      <x:c r="I36" s="234"/>
      <x:c r="J36" s="234"/>
      <x:c r="K36" s="234"/>
      <x:c r="L36" s="234"/>
      <x:c r="M36" s="234"/>
      <x:c r="N36" s="234"/>
      <x:c r="O36" s="234"/>
      <x:c r="P36" s="234"/>
      <x:c r="Q36" s="234"/>
      <x:c r="R36" s="235"/>
      <x:c r="S36" s="234"/>
      <x:c r="T36" s="234"/>
      <x:c r="U36" s="301"/>
      <x:c r="V36" s="302"/>
      <x:c r="W36" s="303"/>
      <x:c r="X36" s="302"/>
      <x:c r="Y36" s="301"/>
      <x:c r="Z36" s="301"/>
      <x:c r="AA36" s="301"/>
      <x:c r="AB36" s="301"/>
      <x:c r="AC36" s="301"/>
      <x:c r="AD36" s="234"/>
      <x:c r="AE36" s="234"/>
      <x:c r="AF36" s="234"/>
      <x:c r="AG36" s="234"/>
      <x:c r="AH36" s="234"/>
    </x:row>
  </x:sheetData>
  <x:mergeCells>
    <x:mergeCell ref="A1:AH1"/>
    <x:mergeCell ref="A2:AH2"/>
  </x:mergeCells>
  <x:conditionalFormatting sqref="AD5:AD36">
    <x:cfRule type="containsText" dxfId="3" priority="1" operator="containsText" text="待审核"/>
    <x:cfRule type="containsText" dxfId="4" priority="2" operator="containsText" text="已发布"/>
    <x:cfRule type="containsText" dxfId="5" priority="3" operator="containsText" text="旧定位基线"/>
  </x:conditionalFormatting>
  <x:dataValidations count="3">
    <x:dataValidation type="list" sqref="AD5:AD36">
      <x:formula1>"待记录,待选题,待审核,已拍摄,已发布,已复盘,旧定位基线,放弃"</x:formula1>
    </x:dataValidation>
    <x:dataValidation type="list" sqref="D5:D36">
      <x:formula1>"普通人学AI第X天,今天被AI坑了一次,我用AI做了个真东西,这个AI热点我亲手试了,AI学习周报,粉丝问题我来实测,旧定位综合热点"</x:formula1>
    </x:dataValidation>
    <x:dataValidation type="list" sqref="E5:E36">
      <x:formula1>"真实AI成长日志,AI工具和真实项目实验,AI热点亲测和普通人解读,成长反思和真实粉丝共创"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9b9f2919e4e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8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42" hidden="0" customWidth="1"/>
    <x:col min="19" max="19" width="36" hidden="0" customWidth="1"/>
    <x:col min="20" max="20" width="32" hidden="0" customWidth="1"/>
  </x:cols>
  <x:sheetData>
    <x:row r="1" ht="34" customHeight="1">
      <x:c r="A1" s="279" t="str">
        <x:v>成长型候选评分｜2026-07-15</x:v>
      </x:c>
      <x:c r="B1" s="279" t="str">
        <x:v>成长型候选评分｜2026-07-15</x:v>
      </x:c>
      <x:c r="C1" s="279" t="str">
        <x:v>成长型候选评分｜2026-07-15</x:v>
      </x:c>
      <x:c r="D1" s="279" t="str">
        <x:v>成长型候选评分｜2026-07-15</x:v>
      </x:c>
      <x:c r="E1" s="279" t="str">
        <x:v>成长型候选评分｜2026-07-15</x:v>
      </x:c>
      <x:c r="F1" s="279" t="str">
        <x:v>成长型候选评分｜2026-07-15</x:v>
      </x:c>
      <x:c r="G1" s="279" t="str">
        <x:v>成长型候选评分｜2026-07-15</x:v>
      </x:c>
      <x:c r="H1" s="279" t="str">
        <x:v>成长型候选评分｜2026-07-15</x:v>
      </x:c>
      <x:c r="I1" s="279" t="str">
        <x:v>成长型候选评分｜2026-07-15</x:v>
      </x:c>
      <x:c r="J1" s="279" t="str">
        <x:v>成长型候选评分｜2026-07-15</x:v>
      </x:c>
      <x:c r="K1" s="279" t="str">
        <x:v>成长型候选评分｜2026-07-15</x:v>
      </x:c>
      <x:c r="L1" s="279" t="str">
        <x:v>成长型候选评分｜2026-07-15</x:v>
      </x:c>
      <x:c r="M1" s="279" t="str">
        <x:v>成长型候选评分｜2026-07-15</x:v>
      </x:c>
      <x:c r="N1" s="279" t="str">
        <x:v>成长型候选评分｜2026-07-15</x:v>
      </x:c>
      <x:c r="O1" s="279" t="str">
        <x:v>成长型候选评分｜2026-07-15</x:v>
      </x:c>
      <x:c r="P1" s="279" t="str">
        <x:v>成长型候选评分｜2026-07-15</x:v>
      </x:c>
      <x:c r="Q1" s="279" t="str">
        <x:v>成长型候选评分｜2026-07-15</x:v>
      </x:c>
      <x:c r="R1" s="279" t="str">
        <x:v>成长型候选评分｜2026-07-15</x:v>
      </x:c>
      <x:c r="S1" s="279" t="str">
        <x:v>成长型候选评分｜2026-07-15</x:v>
      </x:c>
      <x:c r="T1" s="279" t="str">
        <x:v>成长型候选评分｜2026-07-15</x:v>
      </x:c>
    </x:row>
    <x:row r="2">
      <x:c r="A2" s="306" t="str">
        <x:v>最多5个固定方向；没有真实素材的方向必须留空。时效性不再是核心维度，风险单独扣分。</x:v>
      </x:c>
      <x:c r="B2" s="306"/>
      <x:c r="C2" s="306"/>
      <x:c r="D2" s="306"/>
      <x:c r="E2" s="306"/>
      <x:c r="F2" s="306"/>
      <x:c r="G2" s="306"/>
      <x:c r="H2" s="306"/>
      <x:c r="I2" s="306"/>
      <x:c r="J2" s="306"/>
      <x:c r="K2" s="306"/>
      <x:c r="L2" s="306"/>
      <x:c r="M2" s="306"/>
      <x:c r="N2" s="306"/>
      <x:c r="O2" s="306"/>
      <x:c r="P2" s="306"/>
      <x:c r="Q2" s="306"/>
      <x:c r="R2" s="306"/>
      <x:c r="S2" s="306"/>
      <x:c r="T2" s="306"/>
    </x:row>
    <x:row r="4" ht="38" customHeight="1">
      <x:c r="A4" s="294" t="str">
        <x:v>日期</x:v>
      </x:c>
      <x:c r="B4" s="295" t="str">
        <x:v>固定方向</x:v>
      </x:c>
      <x:c r="C4" s="295" t="str">
        <x:v>候选角度</x:v>
      </x:c>
      <x:c r="D4" s="295" t="str">
        <x:v>真实证据</x:v>
      </x:c>
      <x:c r="E4" s="295" t="str">
        <x:v>主线连续</x:v>
      </x:c>
      <x:c r="F4" s="295" t="str">
        <x:v>观众价值</x:v>
      </x:c>
      <x:c r="G4" s="295" t="str">
        <x:v>变化结果</x:v>
      </x:c>
      <x:c r="H4" s="295" t="str">
        <x:v>画面展示</x:v>
      </x:c>
      <x:c r="I4" s="295" t="str">
        <x:v>讲成人话</x:v>
      </x:c>
      <x:c r="J4" s="295" t="str">
        <x:v>共鸣讨论</x:v>
      </x:c>
      <x:c r="K4" s="295" t="str">
        <x:v>明日悬念</x:v>
      </x:c>
      <x:c r="L4" s="295" t="str">
        <x:v>制作可行</x:v>
      </x:c>
      <x:c r="M4" s="295" t="str">
        <x:v>风险</x:v>
      </x:c>
      <x:c r="N4" s="295" t="str">
        <x:v>正向分</x:v>
      </x:c>
      <x:c r="O4" s="295" t="str">
        <x:v>风险扣分</x:v>
      </x:c>
      <x:c r="P4" s="295" t="str">
        <x:v>推荐指数</x:v>
      </x:c>
      <x:c r="Q4" s="295" t="str">
        <x:v>结论</x:v>
      </x:c>
      <x:c r="R4" s="295" t="str">
        <x:v>证据路径</x:v>
      </x:c>
      <x:c r="S4" s="295" t="str">
        <x:v>空缺原因</x:v>
      </x:c>
      <x:c r="T4" s="296" t="str">
        <x:v>备注</x:v>
      </x:c>
    </x:row>
    <x:row r="5" ht="64" customHeight="1">
      <x:c r="A5" s="227" t="n">
        <x:v>46218</x:v>
      </x:c>
      <x:c r="B5" s="228" t="str">
        <x:v>今日进度型</x:v>
      </x:c>
      <x:c r="C5" s="228" t="str">
        <x:v>我让AI每天找热点，第一天先发现账号方向可能错了</x:v>
      </x:c>
      <x:c r="D5" s="229" t="n">
        <x:v>10</x:v>
      </x:c>
      <x:c r="E5" s="229" t="n">
        <x:v>10</x:v>
      </x:c>
      <x:c r="F5" s="229" t="n">
        <x:v>9</x:v>
      </x:c>
      <x:c r="G5" s="229" t="n">
        <x:v>10</x:v>
      </x:c>
      <x:c r="H5" s="229" t="n">
        <x:v>9</x:v>
      </x:c>
      <x:c r="I5" s="229" t="n">
        <x:v>10</x:v>
      </x:c>
      <x:c r="J5" s="229" t="n">
        <x:v>9</x:v>
      </x:c>
      <x:c r="K5" s="229" t="n">
        <x:v>10</x:v>
      </x:c>
      <x:c r="L5" s="229" t="n">
        <x:v>9</x:v>
      </x:c>
      <x:c r="M5" s="229" t="n">
        <x:v>2</x:v>
      </x:c>
      <x:c r="N5" s="242" t="n">
        <x:f>(D5*18+E5*12+F5*14+G5*13+H5*10+I5*9+J5*8+K5*7+L5*9)/10</x:f>
        <x:v>95.9</x:v>
      </x:c>
      <x:c r="O5" s="242" t="n">
        <x:f>MAX(0,M5-3)*3</x:f>
        <x:v>0</x:v>
      </x:c>
      <x:c r="P5" s="242" t="n">
        <x:f>N5-O5</x:f>
        <x:v>95.9</x:v>
      </x:c>
      <x:c r="Q5" s="228" t="str">
        <x:v>主选题</x:v>
      </x:c>
      <x:c r="R5" s="228" t="str">
        <x:v>README、WORKFLOW、旧基线标记、新成长模板和校验结果</x:v>
      </x:c>
      <x:c r="S5" s="228" t="str"/>
      <x:c r="T5" s="228" t="str">
        <x:v>真实方向调整，有结果和明日挑战</x:v>
      </x:c>
    </x:row>
    <x:row r="6" ht="64" customHeight="1">
      <x:c r="A6" s="233" t="n">
        <x:v>46218</x:v>
      </x:c>
      <x:c r="B6" s="234" t="str">
        <x:v>今日踩坑型</x:v>
      </x:c>
      <x:c r="C6" s="234" t="str">
        <x:v>系统做得很完整，不等于账号方向做对了</x:v>
      </x:c>
      <x:c r="D6" s="235" t="n">
        <x:v>10</x:v>
      </x:c>
      <x:c r="E6" s="235" t="n">
        <x:v>9</x:v>
      </x:c>
      <x:c r="F6" s="235" t="n">
        <x:v>9</x:v>
      </x:c>
      <x:c r="G6" s="235" t="n">
        <x:v>10</x:v>
      </x:c>
      <x:c r="H6" s="235" t="n">
        <x:v>8</x:v>
      </x:c>
      <x:c r="I6" s="235" t="n">
        <x:v>10</x:v>
      </x:c>
      <x:c r="J6" s="235" t="n">
        <x:v>9</x:v>
      </x:c>
      <x:c r="K6" s="235" t="n">
        <x:v>9</x:v>
      </x:c>
      <x:c r="L6" s="235" t="n">
        <x:v>9</x:v>
      </x:c>
      <x:c r="M6" s="235" t="n">
        <x:v>2</x:v>
      </x:c>
      <x:c r="N6" s="243" t="n">
        <x:f>(D6*18+E6*12+F6*14+G6*13+H6*10+I6*9+J6*8+K6*7+L6*9)/10</x:f>
        <x:v>93</x:v>
      </x:c>
      <x:c r="O6" s="243" t="n">
        <x:f>MAX(0,M6-3)*3</x:f>
        <x:v>0</x:v>
      </x:c>
      <x:c r="P6" s="243" t="n">
        <x:f>N6-O6</x:f>
        <x:v>93</x:v>
      </x:c>
      <x:c r="Q6" s="234" t="str">
        <x:v>备选1</x:v>
      </x:c>
      <x:c r="R6" s="234" t="str">
        <x:v>旧热点版与新成长版文件对比</x:v>
      </x:c>
      <x:c r="S6" s="234" t="str"/>
      <x:c r="T6" s="234" t="str">
        <x:v>聚焦战略踩坑，画面略弱于主选</x:v>
      </x:c>
    </x:row>
    <x:row r="7" ht="64" customHeight="1">
      <x:c r="A7" s="233" t="n">
        <x:v>46218</x:v>
      </x:c>
      <x:c r="B7" s="234" t="str">
        <x:v>成果展示型</x:v>
      </x:c>
      <x:c r="C7" s="234" t="str">
        <x:v>我没有推翻重做，把旧系统改成了30天AI成长工作流</x:v>
      </x:c>
      <x:c r="D7" s="235" t="n">
        <x:v>10</x:v>
      </x:c>
      <x:c r="E7" s="235" t="n">
        <x:v>9</x:v>
      </x:c>
      <x:c r="F7" s="235" t="n">
        <x:v>9</x:v>
      </x:c>
      <x:c r="G7" s="235" t="n">
        <x:v>9</x:v>
      </x:c>
      <x:c r="H7" s="235" t="n">
        <x:v>10</x:v>
      </x:c>
      <x:c r="I7" s="235" t="n">
        <x:v>9</x:v>
      </x:c>
      <x:c r="J7" s="235" t="n">
        <x:v>7</x:v>
      </x:c>
      <x:c r="K7" s="235" t="n">
        <x:v>8</x:v>
      </x:c>
      <x:c r="L7" s="235" t="n">
        <x:v>8</x:v>
      </x:c>
      <x:c r="M7" s="235" t="n">
        <x:v>2</x:v>
      </x:c>
      <x:c r="N7" s="243" t="n">
        <x:f>(D7*18+E7*12+F7*14+G7*13+H7*10+I7*9+J7*8+K7*7+L7*9)/10</x:f>
        <x:v>89.6</x:v>
      </x:c>
      <x:c r="O7" s="243" t="n">
        <x:f>MAX(0,M7-3)*3</x:f>
        <x:v>0</x:v>
      </x:c>
      <x:c r="P7" s="243" t="n">
        <x:f>N7-O7</x:f>
        <x:v>89.6</x:v>
      </x:c>
      <x:c r="Q7" s="234" t="str">
        <x:v>备选2</x:v>
      </x:c>
      <x:c r="R7" s="234" t="str">
        <x:v>创作者档案、30天路线、模板、脚本和Excel</x:v>
      </x:c>
      <x:c r="S7" s="234" t="str"/>
      <x:c r="T7" s="234" t="str">
        <x:v>成果多，需避免变成文件清单</x:v>
      </x:c>
    </x:row>
    <x:row r="8" ht="64" customHeight="1">
      <x:c r="A8" s="233" t="n">
        <x:v>46218</x:v>
      </x:c>
      <x:c r="B8" s="234" t="str">
        <x:v>AI热点亲测型</x:v>
      </x:c>
      <x:c r="C8" s="234" t="str"/>
      <x:c r="D8" s="235" t="n">
        <x:v>0</x:v>
      </x:c>
      <x:c r="E8" s="235" t="n">
        <x:v>0</x:v>
      </x:c>
      <x:c r="F8" s="235" t="n">
        <x:v>0</x:v>
      </x:c>
      <x:c r="G8" s="235" t="n">
        <x:v>0</x:v>
      </x:c>
      <x:c r="H8" s="235" t="n">
        <x:v>0</x:v>
      </x:c>
      <x:c r="I8" s="235" t="n">
        <x:v>0</x:v>
      </x:c>
      <x:c r="J8" s="235" t="n">
        <x:v>0</x:v>
      </x:c>
      <x:c r="K8" s="235" t="n">
        <x:v>0</x:v>
      </x:c>
      <x:c r="L8" s="235" t="n">
        <x:v>0</x:v>
      </x:c>
      <x:c r="M8" s="235" t="n">
        <x:v>1</x:v>
      </x:c>
      <x:c r="N8" s="243" t="n">
        <x:f>(D8*18+E8*12+F8*14+G8*13+H8*10+I8*9+J8*8+K8*7+L8*9)/10</x:f>
        <x:v>0</x:v>
      </x:c>
      <x:c r="O8" s="243" t="n">
        <x:f>MAX(0,M8-3)*3</x:f>
        <x:v>0</x:v>
      </x:c>
      <x:c r="P8" s="243" t="n">
        <x:f>N8-O8</x:f>
        <x:v>0</x:v>
      </x:c>
      <x:c r="Q8" s="234" t="str">
        <x:v>空缺</x:v>
      </x:c>
      <x:c r="R8" s="234" t="str"/>
      <x:c r="S8" s="234" t="str">
        <x:v>今天未使用与任务直接相关且亲手验证的AI热点</x:v>
      </x:c>
      <x:c r="T8" s="234" t="str">
        <x:v>不得用纯热点凑数</x:v>
      </x:c>
    </x:row>
    <x:row r="9" ht="64" customHeight="1">
      <x:c r="A9" s="233" t="n">
        <x:v>46218</x:v>
      </x:c>
      <x:c r="B9" s="234" t="str">
        <x:v>成长反思或真实粉丝共创型</x:v>
      </x:c>
      <x:c r="C9" s="234" t="str">
        <x:v>先做3天样例，再决定要不要自动化</x:v>
      </x:c>
      <x:c r="D9" s="235" t="n">
        <x:v>9</x:v>
      </x:c>
      <x:c r="E9" s="235" t="n">
        <x:v>10</x:v>
      </x:c>
      <x:c r="F9" s="235" t="n">
        <x:v>8</x:v>
      </x:c>
      <x:c r="G9" s="235" t="n">
        <x:v>8</x:v>
      </x:c>
      <x:c r="H9" s="235" t="n">
        <x:v>7</x:v>
      </x:c>
      <x:c r="I9" s="235" t="n">
        <x:v>9</x:v>
      </x:c>
      <x:c r="J9" s="235" t="n">
        <x:v>8</x:v>
      </x:c>
      <x:c r="K9" s="235" t="n">
        <x:v>9</x:v>
      </x:c>
      <x:c r="L9" s="235" t="n">
        <x:v>10</x:v>
      </x:c>
      <x:c r="M9" s="235" t="n">
        <x:v>2</x:v>
      </x:c>
      <x:c r="N9" s="243" t="n">
        <x:f>(D9*18+E9*12+F9*14+G9*13+H9*10+I9*9+J9*8+K9*7+L9*9)/10</x:f>
        <x:v>86.6</x:v>
      </x:c>
      <x:c r="O9" s="243" t="n">
        <x:f>MAX(0,M9-3)*3</x:f>
        <x:v>0</x:v>
      </x:c>
      <x:c r="P9" s="243" t="n">
        <x:f>N9-O9</x:f>
        <x:v>86.6</x:v>
      </x:c>
      <x:c r="Q9" s="234" t="str">
        <x:v>可保留</x:v>
      </x:c>
      <x:c r="R9" s="234" t="str">
        <x:v>用户明确要求先审核，不配置自动发布</x:v>
      </x:c>
      <x:c r="S9" s="234" t="str">
        <x:v>没有真实粉丝问题，只做成长反思</x:v>
      </x:c>
      <x:c r="T9" s="234" t="str">
        <x:v>适合周报或后续复盘</x:v>
      </x:c>
    </x:row>
  </x:sheetData>
  <x:mergeCells>
    <x:mergeCell ref="A1:T1"/>
    <x:mergeCell ref="A2:T2"/>
  </x:mergeCells>
  <x:conditionalFormatting sqref="M5:M9">
    <x:cfRule type="cellIs" dxfId="6" priority="1" operator="greaterThanOrEqual">
      <x:formula>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fab04e3cf44b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0" hidden="0" customWidth="1"/>
    <x:col min="4" max="4" width="40" hidden="0" customWidth="1"/>
    <x:col min="5" max="5" width="28" hidden="0" customWidth="1"/>
  </x:cols>
  <x:sheetData>
    <x:row r="1" ht="34" customHeight="1">
      <x:c r="A1" s="279" t="str">
        <x:v>创作者档案｜AI实践成长账号</x:v>
      </x:c>
      <x:c r="B1" s="279" t="str">
        <x:v>创作者档案｜AI实践成长账号</x:v>
      </x:c>
      <x:c r="C1" s="279" t="str">
        <x:v>创作者档案｜AI实践成长账号</x:v>
      </x:c>
      <x:c r="D1" s="279" t="str">
        <x:v>创作者档案｜AI实践成长账号</x:v>
      </x:c>
      <x:c r="E1" s="279" t="str">
        <x:v>创作者档案｜AI实践成长账号</x:v>
      </x:c>
    </x:row>
    <x:row r="3" ht="38" customHeight="1">
      <x:c r="A3" s="294" t="str">
        <x:v>模块</x:v>
      </x:c>
      <x:c r="B3" s="295" t="str">
        <x:v>当前确认</x:v>
      </x:c>
      <x:c r="C3" s="295" t="str">
        <x:v>证据要求</x:v>
      </x:c>
      <x:c r="D3" s="295" t="str">
        <x:v>公开边界</x:v>
      </x:c>
      <x:c r="E3" s="296" t="str">
        <x:v>待确认</x:v>
      </x:c>
    </x:row>
    <x:row r="4" ht="62" customHeight="1">
      <x:c r="A4" s="228" t="str">
        <x:v>一句话定位</x:v>
      </x:c>
      <x:c r="B4" s="228" t="str">
        <x:v>普通人从零学习AI、用AI完成真实项目，公开进度、结果和踩坑</x:v>
      </x:c>
      <x:c r="C4" s="228" t="str">
        <x:v>每天必须有真实任务和证据</x:v>
      </x:c>
      <x:c r="D4" s="228" t="str">
        <x:v>不虚构成果、失败、数据和粉丝反馈</x:v>
      </x:c>
      <x:c r="E4" s="228" t="str">
        <x:v>账号名称</x:v>
      </x:c>
    </x:row>
    <x:row r="5" ht="62" customHeight="1">
      <x:c r="A5" s="234" t="str">
        <x:v>默认观众</x:v>
      </x:c>
      <x:c r="B5" s="234" t="str">
        <x:v>18—40岁，对AI有兴趣但不一定有技术背景</x:v>
      </x:c>
      <x:c r="C5" s="234" t="str">
        <x:v>提供普通人能复用的经验</x:v>
      </x:c>
      <x:c r="D5" s="234" t="str">
        <x:v>不用专业术语堆砌</x:v>
      </x:c>
      <x:c r="E5" s="234" t="str">
        <x:v>是否真人出镜</x:v>
      </x:c>
    </x:row>
    <x:row r="6" ht="62" customHeight="1">
      <x:c r="A6" s="234" t="str">
        <x:v>内容比例</x:v>
      </x:c>
      <x:c r="B6" s="234" t="str">
        <x:v>成长45% / 项目实验30% / 热点亲测15% / 反思共创10%</x:v>
      </x:c>
      <x:c r="C6" s="234" t="str">
        <x:v>按周统计，不为比例编造</x:v>
      </x:c>
      <x:c r="D6" s="234" t="str">
        <x:v>无真实粉丝问题时留空</x:v>
      </x:c>
      <x:c r="E6" s="234" t="str">
        <x:v>拍摄设备和环境</x:v>
      </x:c>
    </x:row>
    <x:row r="7" ht="62" customHeight="1">
      <x:c r="A7" s="234" t="str">
        <x:v>固定栏目</x:v>
      </x:c>
      <x:c r="B7" s="234" t="str">
        <x:v>学AI第X天、被AI坑、做真东西、热点亲测、周报、粉丝实测</x:v>
      </x:c>
      <x:c r="C7" s="234" t="str">
        <x:v>栏目必须匹配真实材料</x:v>
      </x:c>
      <x:c r="D7" s="234" t="str">
        <x:v>粉丝栏目需真实来源</x:v>
      </x:c>
      <x:c r="E7" s="234" t="str">
        <x:v>自然语速和口头禁用词</x:v>
      </x:c>
    </x:row>
    <x:row r="8" ht="62" customHeight="1">
      <x:c r="A8" s="234" t="str">
        <x:v>安全边界</x:v>
      </x:c>
      <x:c r="B8" s="234" t="str">
        <x:v>不自动发布、不自动评论、不上传私人资料</x:v>
      </x:c>
      <x:c r="C8" s="234" t="str">
        <x:v>截图先脱敏</x:v>
      </x:c>
      <x:c r="D8" s="234" t="str">
        <x:v>禁止密钥、令牌、Cookie、客户数据和私人聊天</x:v>
      </x:c>
      <x:c r="E8" s="234" t="str">
        <x:v>是否公开仓库/路径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36" hidden="0" customWidth="1"/>
    <x:col min="5" max="5" width="12" hidden="0" customWidth="1"/>
    <x:col min="6" max="6" width="42" hidden="0" customWidth="1"/>
    <x:col min="7" max="7" width="42" hidden="0" customWidth="1"/>
  </x:cols>
  <x:sheetData>
    <x:row r="1" ht="34" customHeight="1">
      <x:c r="A1" s="279" t="str">
        <x:v>30天AI实践成长路线｜计划不等于完成</x:v>
      </x:c>
      <x:c r="B1" s="279" t="str">
        <x:v>30天AI实践成长路线｜计划不等于完成</x:v>
      </x:c>
      <x:c r="C1" s="279" t="str">
        <x:v>30天AI实践成长路线｜计划不等于完成</x:v>
      </x:c>
      <x:c r="D1" s="279" t="str">
        <x:v>30天AI实践成长路线｜计划不等于完成</x:v>
      </x:c>
      <x:c r="E1" s="279" t="str">
        <x:v>30天AI实践成长路线｜计划不等于完成</x:v>
      </x:c>
      <x:c r="F1" s="279" t="str">
        <x:v>30天AI实践成长路线｜计划不等于完成</x:v>
      </x:c>
      <x:c r="G1" s="279" t="str">
        <x:v>30天AI实践成长路线｜计划不等于完成</x:v>
      </x:c>
    </x:row>
    <x:row r="2">
      <x:c r="A2" s="282" t="str">
        <x:v>每天实际结果必须回填；没有完成的计划不得包装为成果。Day 1真实任务是把旧热点工作流增量改造成AI成长工作流。</x:v>
      </x:c>
      <x:c r="B2" s="282"/>
      <x:c r="C2" s="282"/>
      <x:c r="D2" s="282"/>
      <x:c r="E2" s="282"/>
      <x:c r="F2" s="282"/>
      <x:c r="G2" s="282"/>
    </x:row>
    <x:row r="4" ht="38" customHeight="1">
      <x:c r="A4" s="294" t="str">
        <x:v>Day</x:v>
      </x:c>
      <x:c r="B4" s="295" t="str">
        <x:v>阶段</x:v>
      </x:c>
      <x:c r="C4" s="295" t="str">
        <x:v>计划挑战</x:v>
      </x:c>
      <x:c r="D4" s="295" t="str">
        <x:v>必须证据</x:v>
      </x:c>
      <x:c r="E4" s="295" t="str">
        <x:v>状态</x:v>
      </x:c>
      <x:c r="F4" s="295" t="str">
        <x:v>实际结果</x:v>
      </x:c>
      <x:c r="G4" s="296" t="str">
        <x:v>实际证据</x:v>
      </x:c>
    </x:row>
    <x:row r="5" ht="44" customHeight="1">
      <x:c r="A5" s="228" t="n">
        <x:v>1</x:v>
      </x:c>
      <x:c r="B5" s="228" t="str">
        <x:v>阶段一：真实记录</x:v>
      </x:c>
      <x:c r="C5" s="228" t="str">
        <x:v>增量改造旧热点工作流为AI成长工作流</x:v>
      </x:c>
      <x:c r="D5" s="228" t="str">
        <x:v>修改文件、旧基线、新模板、校验</x:v>
      </x:c>
      <x:c r="E5" s="228" t="str">
        <x:v>已完成</x:v>
      </x:c>
      <x:c r="F5" s="228" t="str">
        <x:v>旧系统已保留并完成新定位增量改造</x:v>
      </x:c>
      <x:c r="G5" s="228" t="str">
        <x:v>F:/code/koubo文档、模板、脚本、Excel和校验结果</x:v>
      </x:c>
    </x:row>
    <x:row r="6" ht="44" customHeight="1">
      <x:c r="A6" s="234" t="n">
        <x:v>2</x:v>
      </x:c>
      <x:c r="B6" s="234" t="str">
        <x:v>阶段一：真实记录</x:v>
      </x:c>
      <x:c r="C6" s="234" t="str">
        <x:v>用新流程记录真实Codex任务</x:v>
      </x:c>
      <x:c r="D6" s="234" t="str">
        <x:v>前后文件/命令/结果</x:v>
      </x:c>
      <x:c r="E6" s="234" t="str">
        <x:v>计划</x:v>
      </x:c>
      <x:c r="F6" s="234" t="str"/>
      <x:c r="G6" s="234" t="str"/>
    </x:row>
    <x:row r="7" ht="44" customHeight="1">
      <x:c r="A7" s="234" t="n">
        <x:v>3</x:v>
      </x:c>
      <x:c r="B7" s="234" t="str">
        <x:v>阶段一：真实记录</x:v>
      </x:c>
      <x:c r="C7" s="234" t="str">
        <x:v>记录一次AI错误或返工</x:v>
      </x:c>
      <x:c r="D7" s="234" t="str">
        <x:v>错误输出、修正和最终状态</x:v>
      </x:c>
      <x:c r="E7" s="234" t="str">
        <x:v>计划</x:v>
      </x:c>
      <x:c r="F7" s="234" t="str"/>
      <x:c r="G7" s="234" t="str"/>
    </x:row>
    <x:row r="8" ht="44" customHeight="1">
      <x:c r="A8" s="234" t="n">
        <x:v>4</x:v>
      </x:c>
      <x:c r="B8" s="234" t="str">
        <x:v>阶段一：真实记录</x:v>
      </x:c>
      <x:c r="C8" s="234" t="str">
        <x:v>完成一个可展示的小文件或工具</x:v>
      </x:c>
      <x:c r="D8" s="234" t="str">
        <x:v>可打开产物与验收</x:v>
      </x:c>
      <x:c r="E8" s="234" t="str">
        <x:v>计划</x:v>
      </x:c>
      <x:c r="F8" s="234" t="str"/>
      <x:c r="G8" s="234" t="str"/>
    </x:row>
    <x:row r="9" ht="44" customHeight="1">
      <x:c r="A9" s="234" t="n">
        <x:v>5</x:v>
      </x:c>
      <x:c r="B9" s="234" t="str">
        <x:v>阶段一：真实记录</x:v>
      </x:c>
      <x:c r="C9" s="234" t="str">
        <x:v>比较直接问AI和给证据再问AI</x:v>
      </x:c>
      <x:c r="D9" s="234" t="str">
        <x:v>两组输入输出</x:v>
      </x:c>
      <x:c r="E9" s="234" t="str">
        <x:v>计划</x:v>
      </x:c>
      <x:c r="F9" s="234" t="str"/>
      <x:c r="G9" s="234" t="str"/>
    </x:row>
    <x:row r="10" ht="44" customHeight="1">
      <x:c r="A10" s="234" t="n">
        <x:v>6</x:v>
      </x:c>
      <x:c r="B10" s="234" t="str">
        <x:v>阶段一：真实记录</x:v>
      </x:c>
      <x:c r="C10" s="234" t="str">
        <x:v>亲测与当前任务相关AI热点</x:v>
      </x:c>
      <x:c r="D10" s="234" t="str">
        <x:v>官方资料和测试结果</x:v>
      </x:c>
      <x:c r="E10" s="234" t="str">
        <x:v>计划</x:v>
      </x:c>
      <x:c r="F10" s="234" t="str"/>
      <x:c r="G10" s="234" t="str"/>
    </x:row>
    <x:row r="11" ht="44" customHeight="1">
      <x:c r="A11" s="234" t="n">
        <x:v>7</x:v>
      </x:c>
      <x:c r="B11" s="234" t="str">
        <x:v>阶段一：真实记录</x:v>
      </x:c>
      <x:c r="C11" s="234" t="str">
        <x:v>第一周双重复盘</x:v>
      </x:c>
      <x:c r="D11" s="234" t="str">
        <x:v>学习与内容复盘</x:v>
      </x:c>
      <x:c r="E11" s="234" t="str">
        <x:v>计划</x:v>
      </x:c>
      <x:c r="F11" s="234" t="str"/>
      <x:c r="G11" s="234" t="str"/>
    </x:row>
    <x:row r="12" ht="44" customHeight="1">
      <x:c r="A12" s="234" t="n">
        <x:v>8</x:v>
      </x:c>
      <x:c r="B12" s="234" t="str">
        <x:v>阶段二：第一个项目</x:v>
      </x:c>
      <x:c r="C12" s="234" t="str">
        <x:v>从真实痛点定义小项目</x:v>
      </x:c>
      <x:c r="D12" s="234" t="str">
        <x:v>需求和痛点证据</x:v>
      </x:c>
      <x:c r="E12" s="234" t="str">
        <x:v>计划</x:v>
      </x:c>
      <x:c r="F12" s="234" t="str"/>
      <x:c r="G12" s="234" t="str"/>
    </x:row>
    <x:row r="13" ht="44" customHeight="1">
      <x:c r="A13" s="234" t="n">
        <x:v>9</x:v>
      </x:c>
      <x:c r="B13" s="234" t="str">
        <x:v>阶段二：第一个项目</x:v>
      </x:c>
      <x:c r="C13" s="234" t="str">
        <x:v>写验收标准和公开边界</x:v>
      </x:c>
      <x:c r="D13" s="234" t="str">
        <x:v>验收清单</x:v>
      </x:c>
      <x:c r="E13" s="234" t="str">
        <x:v>计划</x:v>
      </x:c>
      <x:c r="F13" s="234" t="str"/>
      <x:c r="G13" s="234" t="str"/>
    </x:row>
    <x:row r="14" ht="44" customHeight="1">
      <x:c r="A14" s="234" t="n">
        <x:v>10</x:v>
      </x:c>
      <x:c r="B14" s="234" t="str">
        <x:v>阶段二：第一个项目</x:v>
      </x:c>
      <x:c r="C14" s="234" t="str">
        <x:v>让AI完成V1</x:v>
      </x:c>
      <x:c r="D14" s="234" t="str">
        <x:v>原始V1</x:v>
      </x:c>
      <x:c r="E14" s="234" t="str">
        <x:v>计划</x:v>
      </x:c>
      <x:c r="F14" s="234" t="str"/>
      <x:c r="G14" s="234" t="str"/>
    </x:row>
    <x:row r="15" ht="44" customHeight="1">
      <x:c r="A15" s="234" t="n">
        <x:v>11</x:v>
      </x:c>
      <x:c r="B15" s="234" t="str">
        <x:v>阶段二：第一个项目</x:v>
      </x:c>
      <x:c r="C15" s="234" t="str">
        <x:v>找出V1问题</x:v>
      </x:c>
      <x:c r="D15" s="234" t="str">
        <x:v>错误/缺陷</x:v>
      </x:c>
      <x:c r="E15" s="234" t="str">
        <x:v>计划</x:v>
      </x:c>
      <x:c r="F15" s="234" t="str"/>
      <x:c r="G15" s="234" t="str"/>
    </x:row>
    <x:row r="16" ht="44" customHeight="1">
      <x:c r="A16" s="234" t="n">
        <x:v>12</x:v>
      </x:c>
      <x:c r="B16" s="234" t="str">
        <x:v>阶段二：第一个项目</x:v>
      </x:c>
      <x:c r="C16" s="234" t="str">
        <x:v>修复并做前后对比</x:v>
      </x:c>
      <x:c r="D16" s="234" t="str">
        <x:v>V2和对比</x:v>
      </x:c>
      <x:c r="E16" s="234" t="str">
        <x:v>计划</x:v>
      </x:c>
      <x:c r="F16" s="234" t="str"/>
      <x:c r="G16" s="234" t="str"/>
    </x:row>
    <x:row r="17" ht="44" customHeight="1">
      <x:c r="A17" s="234" t="n">
        <x:v>13</x:v>
      </x:c>
      <x:c r="B17" s="234" t="str">
        <x:v>阶段二：第一个项目</x:v>
      </x:c>
      <x:c r="C17" s="234" t="str">
        <x:v>非专业视角可用性检查</x:v>
      </x:c>
      <x:c r="D17" s="234" t="str">
        <x:v>检查记录</x:v>
      </x:c>
      <x:c r="E17" s="234" t="str">
        <x:v>计划</x:v>
      </x:c>
      <x:c r="F17" s="234" t="str"/>
      <x:c r="G17" s="234" t="str"/>
    </x:row>
    <x:row r="18" ht="44" customHeight="1">
      <x:c r="A18" s="234" t="n">
        <x:v>14</x:v>
      </x:c>
      <x:c r="B18" s="234" t="str">
        <x:v>阶段二：第一个项目</x:v>
      </x:c>
      <x:c r="C18" s="234" t="str">
        <x:v>第一个项目复盘</x:v>
      </x:c>
      <x:c r="D18" s="234" t="str">
        <x:v>项目结果与经验</x:v>
      </x:c>
      <x:c r="E18" s="234" t="str">
        <x:v>计划</x:v>
      </x:c>
      <x:c r="F18" s="234" t="str"/>
      <x:c r="G18" s="234" t="str"/>
    </x:row>
    <x:row r="19" ht="44" customHeight="1">
      <x:c r="A19" s="234" t="n">
        <x:v>15</x:v>
      </x:c>
      <x:c r="B19" s="234" t="str">
        <x:v>阶段三：判断能力</x:v>
      </x:c>
      <x:c r="C19" s="234" t="str">
        <x:v>比较两种工具或提示方法</x:v>
      </x:c>
      <x:c r="D19" s="234" t="str">
        <x:v>同任务对照</x:v>
      </x:c>
      <x:c r="E19" s="234" t="str">
        <x:v>计划</x:v>
      </x:c>
      <x:c r="F19" s="234" t="str"/>
      <x:c r="G19" s="234" t="str"/>
    </x:row>
    <x:row r="20" ht="44" customHeight="1">
      <x:c r="A20" s="234" t="n">
        <x:v>16</x:v>
      </x:c>
      <x:c r="B20" s="234" t="str">
        <x:v>阶段三：判断能力</x:v>
      </x:c>
      <x:c r="C20" s="234" t="str">
        <x:v>测试AI事实核验边界</x:v>
      </x:c>
      <x:c r="D20" s="234" t="str">
        <x:v>事实源和错误</x:v>
      </x:c>
      <x:c r="E20" s="234" t="str">
        <x:v>计划</x:v>
      </x:c>
      <x:c r="F20" s="234" t="str"/>
      <x:c r="G20" s="234" t="str"/>
    </x:row>
    <x:row r="21" ht="44" customHeight="1">
      <x:c r="A21" s="234" t="n">
        <x:v>17</x:v>
      </x:c>
      <x:c r="B21" s="234" t="str">
        <x:v>阶段三：判断能力</x:v>
      </x:c>
      <x:c r="C21" s="234" t="str">
        <x:v>测试AI文件生成边界</x:v>
      </x:c>
      <x:c r="D21" s="234" t="str">
        <x:v>文件和验收</x:v>
      </x:c>
      <x:c r="E21" s="234" t="str">
        <x:v>计划</x:v>
      </x:c>
      <x:c r="F21" s="234" t="str"/>
      <x:c r="G21" s="234" t="str"/>
    </x:row>
    <x:row r="22" ht="44" customHeight="1">
      <x:c r="A22" s="234" t="n">
        <x:v>18</x:v>
      </x:c>
      <x:c r="B22" s="234" t="str">
        <x:v>阶段三：判断能力</x:v>
      </x:c>
      <x:c r="C22" s="234" t="str">
        <x:v>记录必须人工判断的一步</x:v>
      </x:c>
      <x:c r="D22" s="234" t="str">
        <x:v>决策证据</x:v>
      </x:c>
      <x:c r="E22" s="234" t="str">
        <x:v>计划</x:v>
      </x:c>
      <x:c r="F22" s="234" t="str"/>
      <x:c r="G22" s="234" t="str"/>
    </x:row>
    <x:row r="23" ht="44" customHeight="1">
      <x:c r="A23" s="234" t="n">
        <x:v>19</x:v>
      </x:c>
      <x:c r="B23" s="234" t="str">
        <x:v>阶段三：判断能力</x:v>
      </x:c>
      <x:c r="C23" s="234" t="str">
        <x:v>相关AI热点亲测</x:v>
      </x:c>
      <x:c r="D23" s="234" t="str">
        <x:v>实际测试</x:v>
      </x:c>
      <x:c r="E23" s="234" t="str">
        <x:v>计划</x:v>
      </x:c>
      <x:c r="F23" s="234" t="str"/>
      <x:c r="G23" s="234" t="str"/>
    </x:row>
    <x:row r="24" ht="44" customHeight="1">
      <x:c r="A24" s="234" t="n">
        <x:v>20</x:v>
      </x:c>
      <x:c r="B24" s="234" t="str">
        <x:v>阶段三：判断能力</x:v>
      </x:c>
      <x:c r="C24" s="234" t="str">
        <x:v>真实粉丝问题实测或留空</x:v>
      </x:c>
      <x:c r="D24" s="234" t="str">
        <x:v>真实问题来源</x:v>
      </x:c>
      <x:c r="E24" s="234" t="str">
        <x:v>计划</x:v>
      </x:c>
      <x:c r="F24" s="234" t="str"/>
      <x:c r="G24" s="234" t="str"/>
    </x:row>
    <x:row r="25" ht="44" customHeight="1">
      <x:c r="A25" s="234" t="n">
        <x:v>21</x:v>
      </x:c>
      <x:c r="B25" s="234" t="str">
        <x:v>阶段三：判断能力</x:v>
      </x:c>
      <x:c r="C25" s="234" t="str">
        <x:v>第二周双重复盘</x:v>
      </x:c>
      <x:c r="D25" s="234" t="str">
        <x:v>学习与内容复盘</x:v>
      </x:c>
      <x:c r="E25" s="234" t="str">
        <x:v>计划</x:v>
      </x:c>
      <x:c r="F25" s="234" t="str"/>
      <x:c r="G25" s="234" t="str"/>
    </x:row>
    <x:row r="26" ht="44" customHeight="1">
      <x:c r="A26" s="234" t="n">
        <x:v>22</x:v>
      </x:c>
      <x:c r="B26" s="234" t="str">
        <x:v>阶段四：稳定与作品集</x:v>
      </x:c>
      <x:c r="C26" s="234" t="str">
        <x:v>复用最佳内容结构</x:v>
      </x:c>
      <x:c r="D26" s="234" t="str">
        <x:v>结构和结果</x:v>
      </x:c>
      <x:c r="E26" s="234" t="str">
        <x:v>计划</x:v>
      </x:c>
      <x:c r="F26" s="234" t="str"/>
      <x:c r="G26" s="234" t="str"/>
    </x:row>
    <x:row r="27" ht="44" customHeight="1">
      <x:c r="A27" s="234" t="n">
        <x:v>23</x:v>
      </x:c>
      <x:c r="B27" s="234" t="str">
        <x:v>阶段四：稳定与作品集</x:v>
      </x:c>
      <x:c r="C27" s="234" t="str">
        <x:v>升级或开始第二个项目</x:v>
      </x:c>
      <x:c r="D27" s="234" t="str">
        <x:v>项目产物</x:v>
      </x:c>
      <x:c r="E27" s="234" t="str">
        <x:v>计划</x:v>
      </x:c>
      <x:c r="F27" s="234" t="str"/>
      <x:c r="G27" s="234" t="str"/>
    </x:row>
    <x:row r="28" ht="44" customHeight="1">
      <x:c r="A28" s="234" t="n">
        <x:v>24</x:v>
      </x:c>
      <x:c r="B28" s="234" t="str">
        <x:v>阶段四：稳定与作品集</x:v>
      </x:c>
      <x:c r="C28" s="234" t="str">
        <x:v>记录一次真实失败</x:v>
      </x:c>
      <x:c r="D28" s="234" t="str">
        <x:v>失败和修复</x:v>
      </x:c>
      <x:c r="E28" s="234" t="str">
        <x:v>计划</x:v>
      </x:c>
      <x:c r="F28" s="234" t="str"/>
      <x:c r="G28" s="234" t="str"/>
    </x:row>
    <x:row r="29" ht="44" customHeight="1">
      <x:c r="A29" s="234" t="n">
        <x:v>25</x:v>
      </x:c>
      <x:c r="B29" s="234" t="str">
        <x:v>阶段四：稳定与作品集</x:v>
      </x:c>
      <x:c r="C29" s="234" t="str">
        <x:v>展示可复用工作流</x:v>
      </x:c>
      <x:c r="D29" s="234" t="str">
        <x:v>流程图/文件</x:v>
      </x:c>
      <x:c r="E29" s="234" t="str">
        <x:v>计划</x:v>
      </x:c>
      <x:c r="F29" s="234" t="str"/>
      <x:c r="G29" s="234" t="str"/>
    </x:row>
    <x:row r="30" ht="44" customHeight="1">
      <x:c r="A30" s="234" t="n">
        <x:v>26</x:v>
      </x:c>
      <x:c r="B30" s="234" t="str">
        <x:v>阶段四：稳定与作品集</x:v>
      </x:c>
      <x:c r="C30" s="234" t="str">
        <x:v>整理作品集</x:v>
      </x:c>
      <x:c r="D30" s="234" t="str">
        <x:v>可公开作品</x:v>
      </x:c>
      <x:c r="E30" s="234" t="str">
        <x:v>计划</x:v>
      </x:c>
      <x:c r="F30" s="234" t="str"/>
      <x:c r="G30" s="234" t="str"/>
    </x:row>
    <x:row r="31" ht="44" customHeight="1">
      <x:c r="A31" s="234" t="n">
        <x:v>27</x:v>
      </x:c>
      <x:c r="B31" s="234" t="str">
        <x:v>阶段四：稳定与作品集</x:v>
      </x:c>
      <x:c r="C31" s="234" t="str">
        <x:v>比较Day1和当前能力</x:v>
      </x:c>
      <x:c r="D31" s="234" t="str">
        <x:v>前后证据</x:v>
      </x:c>
      <x:c r="E31" s="234" t="str">
        <x:v>计划</x:v>
      </x:c>
      <x:c r="F31" s="234" t="str"/>
      <x:c r="G31" s="234" t="str"/>
    </x:row>
    <x:row r="32" ht="44" customHeight="1">
      <x:c r="A32" s="234" t="n">
        <x:v>28</x:v>
      </x:c>
      <x:c r="B32" s="234" t="str">
        <x:v>阶段四：稳定与作品集</x:v>
      </x:c>
      <x:c r="C32" s="234" t="str">
        <x:v>测试最佳标题封面结构</x:v>
      </x:c>
      <x:c r="D32" s="234" t="str">
        <x:v>发布数据</x:v>
      </x:c>
      <x:c r="E32" s="234" t="str">
        <x:v>计划</x:v>
      </x:c>
      <x:c r="F32" s="234" t="str"/>
      <x:c r="G32" s="234" t="str"/>
    </x:row>
    <x:row r="33" ht="44" customHeight="1">
      <x:c r="A33" s="234" t="n">
        <x:v>29</x:v>
      </x:c>
      <x:c r="B33" s="234" t="str">
        <x:v>阶段四：稳定与作品集</x:v>
      </x:c>
      <x:c r="C33" s="234" t="str">
        <x:v>30天成果汇总</x:v>
      </x:c>
      <x:c r="D33" s="234" t="str">
        <x:v>作品、错误和方法</x:v>
      </x:c>
      <x:c r="E33" s="234" t="str">
        <x:v>计划</x:v>
      </x:c>
      <x:c r="F33" s="234" t="str"/>
      <x:c r="G33" s="234" t="str"/>
    </x:row>
    <x:row r="34" ht="44" customHeight="1">
      <x:c r="A34" s="234" t="n">
        <x:v>30</x:v>
      </x:c>
      <x:c r="B34" s="234" t="str">
        <x:v>阶段四：稳定与作品集</x:v>
      </x:c>
      <x:c r="C34" s="234" t="str">
        <x:v>完整双重复盘</x:v>
      </x:c>
      <x:c r="D34" s="234" t="str">
        <x:v>保留/增加/减少/停止</x:v>
      </x:c>
      <x:c r="E34" s="234" t="str">
        <x:v>计划</x:v>
      </x:c>
      <x:c r="F34" s="234" t="str"/>
      <x:c r="G34" s="234" t="str"/>
    </x:row>
  </x:sheetData>
  <x:mergeCells>
    <x:mergeCell ref="A1:G1"/>
    <x:mergeCell ref="A2:G2"/>
  </x:mergeCells>
  <x:conditionalFormatting sqref="E5:E34">
    <x:cfRule type="containsText" dxfId="7" priority="1" operator="containsText" text="已完成"/>
  </x:conditionalFormatting>
  <x:dataValidations count="1">
    <x:dataValidation type="list" sqref="E5:E34">
      <x:formula1>"计划,进行中,已完成,延期,取消"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23b4469d0643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30" hidden="0" customWidth="1"/>
    <x:col min="5" max="5" width="34" hidden="0" customWidth="1"/>
    <x:col min="6" max="6" width="30" hidden="0" customWidth="1"/>
    <x:col min="7" max="7" width="34" hidden="0" customWidth="1"/>
    <x:col min="8" max="8" width="28" hidden="0" customWidth="1"/>
    <x:col min="9" max="9" width="32" hidden="0" customWidth="1"/>
    <x:col min="10" max="10" width="10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  <x:col min="15" max="15" width="30" hidden="0" customWidth="1"/>
    <x:col min="16" max="16" width="30" hidden="0" customWidth="1"/>
    <x:col min="17" max="17" width="30" hidden="0" customWidth="1"/>
    <x:col min="18" max="18" width="28" hidden="0" customWidth="1"/>
    <x:col min="19" max="19" width="28" hidden="0" customWidth="1"/>
    <x:col min="20" max="20" width="34" hidden="0" customWidth="1"/>
    <x:col min="21" max="21" width="26" hidden="0" customWidth="1"/>
  </x:cols>
  <x:sheetData>
    <x:row r="1" ht="34" customHeight="1">
      <x:c r="A1" s="279" t="str">
        <x:v>个人学习与账号内容双重复盘</x:v>
      </x:c>
      <x:c r="B1" s="279" t="str">
        <x:v>个人学习与账号内容双重复盘</x:v>
      </x:c>
      <x:c r="C1" s="279" t="str">
        <x:v>个人学习与账号内容双重复盘</x:v>
      </x:c>
      <x:c r="D1" s="279" t="str">
        <x:v>个人学习与账号内容双重复盘</x:v>
      </x:c>
      <x:c r="E1" s="279" t="str">
        <x:v>个人学习与账号内容双重复盘</x:v>
      </x:c>
      <x:c r="F1" s="279" t="str">
        <x:v>个人学习与账号内容双重复盘</x:v>
      </x:c>
      <x:c r="G1" s="279" t="str">
        <x:v>个人学习与账号内容双重复盘</x:v>
      </x:c>
      <x:c r="H1" s="279" t="str">
        <x:v>个人学习与账号内容双重复盘</x:v>
      </x:c>
      <x:c r="I1" s="279" t="str">
        <x:v>个人学习与账号内容双重复盘</x:v>
      </x:c>
      <x:c r="J1" s="279" t="str">
        <x:v>个人学习与账号内容双重复盘</x:v>
      </x:c>
      <x:c r="K1" s="279" t="str">
        <x:v>个人学习与账号内容双重复盘</x:v>
      </x:c>
      <x:c r="L1" s="279" t="str">
        <x:v>个人学习与账号内容双重复盘</x:v>
      </x:c>
      <x:c r="M1" s="279" t="str">
        <x:v>个人学习与账号内容双重复盘</x:v>
      </x:c>
      <x:c r="N1" s="279" t="str">
        <x:v>个人学习与账号内容双重复盘</x:v>
      </x:c>
      <x:c r="O1" s="279" t="str">
        <x:v>个人学习与账号内容双重复盘</x:v>
      </x:c>
      <x:c r="P1" s="279" t="str">
        <x:v>个人学习与账号内容双重复盘</x:v>
      </x:c>
      <x:c r="Q1" s="279" t="str">
        <x:v>个人学习与账号内容双重复盘</x:v>
      </x:c>
      <x:c r="R1" s="279" t="str">
        <x:v>个人学习与账号内容双重复盘</x:v>
      </x:c>
      <x:c r="S1" s="279" t="str">
        <x:v>个人学习与账号内容双重复盘</x:v>
      </x:c>
      <x:c r="T1" s="279" t="str">
        <x:v>个人学习与账号内容双重复盘</x:v>
      </x:c>
      <x:c r="U1" s="279" t="str">
        <x:v>个人学习与账号内容双重复盘</x:v>
      </x:c>
    </x:row>
    <x:row r="2">
      <x:c r="A2" s="306" t="str">
        <x:v>学习进展和内容数据必须分别复盘，再判断二者是否互相促进；同类不足3条只记录观察。</x:v>
      </x:c>
      <x:c r="B2" s="306"/>
      <x:c r="C2" s="306"/>
      <x:c r="D2" s="306"/>
      <x:c r="E2" s="306"/>
      <x:c r="F2" s="306"/>
      <x:c r="G2" s="306"/>
      <x:c r="H2" s="306"/>
      <x:c r="I2" s="306"/>
      <x:c r="J2" s="306"/>
      <x:c r="K2" s="306"/>
      <x:c r="L2" s="306"/>
      <x:c r="M2" s="306"/>
      <x:c r="N2" s="306"/>
      <x:c r="O2" s="306"/>
      <x:c r="P2" s="306"/>
      <x:c r="Q2" s="306"/>
      <x:c r="R2" s="306"/>
      <x:c r="S2" s="306"/>
      <x:c r="T2" s="306"/>
      <x:c r="U2" s="306"/>
    </x:row>
    <x:row r="4" ht="38" customHeight="1">
      <x:c r="A4" s="294" t="str">
        <x:v>周次</x:v>
      </x:c>
      <x:c r="B4" s="295" t="str">
        <x:v>开始</x:v>
      </x:c>
      <x:c r="C4" s="295" t="str">
        <x:v>结束</x:v>
      </x:c>
      <x:c r="D4" s="295" t="str">
        <x:v>计划挑战</x:v>
      </x:c>
      <x:c r="E4" s="295" t="str">
        <x:v>实际完成</x:v>
      </x:c>
      <x:c r="F4" s="295" t="str">
        <x:v>AI帮上忙</x:v>
      </x:c>
      <x:c r="G4" s="295" t="str">
        <x:v>AI出错/返工</x:v>
      </x:c>
      <x:c r="H4" s="295" t="str">
        <x:v>新增独立能力</x:v>
      </x:c>
      <x:c r="I4" s="295" t="str">
        <x:v>下周项目挑战</x:v>
      </x:c>
      <x:c r="J4" s="295" t="str">
        <x:v>发布数</x:v>
      </x:c>
      <x:c r="K4" s="295" t="str">
        <x:v>平均3秒留存</x:v>
      </x:c>
      <x:c r="L4" s="295" t="str">
        <x:v>平均完播率</x:v>
      </x:c>
      <x:c r="M4" s="295" t="str">
        <x:v>总播放</x:v>
      </x:c>
      <x:c r="N4" s="295" t="str">
        <x:v>互动率</x:v>
      </x:c>
      <x:c r="O4" s="295" t="str">
        <x:v>最佳真实变化</x:v>
      </x:c>
      <x:c r="P4" s="295" t="str">
        <x:v>最佳证据画面</x:v>
      </x:c>
      <x:c r="Q4" s="295" t="str">
        <x:v>最佳钩子</x:v>
      </x:c>
      <x:c r="R4" s="295" t="str">
        <x:v>学习动作</x:v>
      </x:c>
      <x:c r="S4" s="295" t="str">
        <x:v>内容动作</x:v>
      </x:c>
      <x:c r="T4" s="295" t="str">
        <x:v>交叉判断</x:v>
      </x:c>
      <x:c r="U4" s="296" t="str">
        <x:v>备注</x:v>
      </x:c>
    </x:row>
    <x:row r="5" ht="52" customHeight="1">
      <x:c r="A5" s="228" t="n">
        <x:v>1</x:v>
      </x:c>
      <x:c r="B5" s="227" t="n">
        <x:v>46218</x:v>
      </x:c>
      <x:c r="C5" s="227" t="n">
        <x:v>46224</x:v>
      </x:c>
      <x:c r="D5" s="315" t="str"/>
      <x:c r="E5" s="315" t="str"/>
      <x:c r="F5" s="315" t="str"/>
      <x:c r="G5" s="315" t="str"/>
      <x:c r="H5" s="315" t="str"/>
      <x:c r="I5" s="315" t="str"/>
      <x:c r="J5" s="228" t="n">
        <x:f>COUNTIFS('成长内容台账'!$A$5:$A$36,"&gt;="&amp;B5,'成长内容台账'!$A$5:$A$36,"&lt;="&amp;C5,'成长内容台账'!$AD$5:$AD$36,"已发布")</x:f>
        <x:v>0</x:v>
      </x:c>
      <x:c r="K5" s="252" t="n">
        <x:f>IFERROR(AVERAGEIFS('成长内容台账'!$V$5:$V$36,'成长内容台账'!$A$5:$A$36,"&gt;="&amp;B5,'成长内容台账'!$A$5:$A$36,"&lt;="&amp;C5,'成长内容台账'!$AD$5:$AD$36,"已发布"),0)</x:f>
        <x:v>0</x:v>
      </x:c>
      <x:c r="L5" s="252" t="n">
        <x:f>IFERROR(AVERAGEIFS('成长内容台账'!$X$5:$X$36,'成长内容台账'!$A$5:$A$36,"&gt;="&amp;B5,'成长内容台账'!$A$5:$A$36,"&lt;="&amp;C5,'成长内容台账'!$AD$5:$AD$36,"已发布"),0)</x:f>
        <x:v>0</x:v>
      </x:c>
      <x:c r="M5" s="253" t="n">
        <x:f>SUMIFS('成长内容台账'!$U$5:$U$36,'成长内容台账'!$A$5:$A$36,"&gt;="&amp;B5,'成长内容台账'!$A$5:$A$36,"&lt;="&amp;C5)</x:f>
        <x:v>0</x:v>
      </x:c>
      <x:c r="N5" s="252" t="n">
        <x:f>IFERROR((SUMIFS('成长内容台账'!$Y$5:$Y$36,'成长内容台账'!$A$5:$A$36,"&gt;="&amp;B5,'成长内容台账'!$A$5:$A$36,"&lt;="&amp;C5)+SUMIFS('成长内容台账'!$Z$5:$Z$36,'成长内容台账'!$A$5:$A$36,"&gt;="&amp;B5,'成长内容台账'!$A$5:$A$36,"&lt;="&amp;C5)+SUMIFS('成长内容台账'!$AA$5:$AA$36,'成长内容台账'!$A$5:$A$36,"&gt;="&amp;B5,'成长内容台账'!$A$5:$A$36,"&lt;="&amp;C5)+SUMIFS('成长内容台账'!$AB$5:$AB$36,'成长内容台账'!$A$5:$A$36,"&gt;="&amp;B5,'成长内容台账'!$A$5:$A$36,"&lt;="&amp;C5))/M5,0)</x:f>
        <x:v>0</x:v>
      </x:c>
      <x:c r="O5" s="315" t="str"/>
      <x:c r="P5" s="315" t="str"/>
      <x:c r="Q5" s="315" t="str"/>
      <x:c r="R5" s="315" t="str"/>
      <x:c r="S5" s="315" t="str"/>
      <x:c r="T5" s="315" t="str"/>
      <x:c r="U5" s="315" t="str"/>
    </x:row>
    <x:row r="6" ht="52" customHeight="1">
      <x:c r="A6" s="234" t="n">
        <x:v>2</x:v>
      </x:c>
      <x:c r="B6" s="233" t="n">
        <x:v>46225</x:v>
      </x:c>
      <x:c r="C6" s="233" t="n">
        <x:v>46231</x:v>
      </x:c>
      <x:c r="D6" s="316" t="str"/>
      <x:c r="E6" s="316" t="str"/>
      <x:c r="F6" s="316" t="str"/>
      <x:c r="G6" s="316" t="str"/>
      <x:c r="H6" s="316" t="str"/>
      <x:c r="I6" s="316" t="str"/>
      <x:c r="J6" s="234" t="n">
        <x:f>COUNTIFS('成长内容台账'!$A$5:$A$36,"&gt;="&amp;B6,'成长内容台账'!$A$5:$A$36,"&lt;="&amp;C6,'成长内容台账'!$AD$5:$AD$36,"已发布")</x:f>
        <x:v>0</x:v>
      </x:c>
      <x:c r="K6" s="255" t="n">
        <x:f>IFERROR(AVERAGEIFS('成长内容台账'!$V$5:$V$36,'成长内容台账'!$A$5:$A$36,"&gt;="&amp;B6,'成长内容台账'!$A$5:$A$36,"&lt;="&amp;C6,'成长内容台账'!$AD$5:$AD$36,"已发布"),0)</x:f>
        <x:v>0</x:v>
      </x:c>
      <x:c r="L6" s="255" t="n">
        <x:f>IFERROR(AVERAGEIFS('成长内容台账'!$X$5:$X$36,'成长内容台账'!$A$5:$A$36,"&gt;="&amp;B6,'成长内容台账'!$A$5:$A$36,"&lt;="&amp;C6,'成长内容台账'!$AD$5:$AD$36,"已发布"),0)</x:f>
        <x:v>0</x:v>
      </x:c>
      <x:c r="M6" s="256" t="n">
        <x:f>SUMIFS('成长内容台账'!$U$5:$U$36,'成长内容台账'!$A$5:$A$36,"&gt;="&amp;B6,'成长内容台账'!$A$5:$A$36,"&lt;="&amp;C6)</x:f>
        <x:v>0</x:v>
      </x:c>
      <x:c r="N6" s="255" t="n">
        <x:f>IFERROR((SUMIFS('成长内容台账'!$Y$5:$Y$36,'成长内容台账'!$A$5:$A$36,"&gt;="&amp;B6,'成长内容台账'!$A$5:$A$36,"&lt;="&amp;C6)+SUMIFS('成长内容台账'!$Z$5:$Z$36,'成长内容台账'!$A$5:$A$36,"&gt;="&amp;B6,'成长内容台账'!$A$5:$A$36,"&lt;="&amp;C6)+SUMIFS('成长内容台账'!$AA$5:$AA$36,'成长内容台账'!$A$5:$A$36,"&gt;="&amp;B6,'成长内容台账'!$A$5:$A$36,"&lt;="&amp;C6)+SUMIFS('成长内容台账'!$AB$5:$AB$36,'成长内容台账'!$A$5:$A$36,"&gt;="&amp;B6,'成长内容台账'!$A$5:$A$36,"&lt;="&amp;C6))/M6,0)</x:f>
        <x:v>0</x:v>
      </x:c>
      <x:c r="O6" s="316" t="str"/>
      <x:c r="P6" s="316" t="str"/>
      <x:c r="Q6" s="316" t="str"/>
      <x:c r="R6" s="316" t="str"/>
      <x:c r="S6" s="316" t="str"/>
      <x:c r="T6" s="316" t="str"/>
      <x:c r="U6" s="316" t="str"/>
    </x:row>
    <x:row r="7" ht="52" customHeight="1">
      <x:c r="A7" s="234" t="n">
        <x:v>3</x:v>
      </x:c>
      <x:c r="B7" s="233" t="n">
        <x:v>46232</x:v>
      </x:c>
      <x:c r="C7" s="233" t="n">
        <x:v>46238</x:v>
      </x:c>
      <x:c r="D7" s="316" t="str"/>
      <x:c r="E7" s="316" t="str"/>
      <x:c r="F7" s="316" t="str"/>
      <x:c r="G7" s="316" t="str"/>
      <x:c r="H7" s="316" t="str"/>
      <x:c r="I7" s="316" t="str"/>
      <x:c r="J7" s="234" t="n">
        <x:f>COUNTIFS('成长内容台账'!$A$5:$A$36,"&gt;="&amp;B7,'成长内容台账'!$A$5:$A$36,"&lt;="&amp;C7,'成长内容台账'!$AD$5:$AD$36,"已发布")</x:f>
        <x:v>0</x:v>
      </x:c>
      <x:c r="K7" s="255" t="n">
        <x:f>IFERROR(AVERAGEIFS('成长内容台账'!$V$5:$V$36,'成长内容台账'!$A$5:$A$36,"&gt;="&amp;B7,'成长内容台账'!$A$5:$A$36,"&lt;="&amp;C7,'成长内容台账'!$AD$5:$AD$36,"已发布"),0)</x:f>
        <x:v>0</x:v>
      </x:c>
      <x:c r="L7" s="255" t="n">
        <x:f>IFERROR(AVERAGEIFS('成长内容台账'!$X$5:$X$36,'成长内容台账'!$A$5:$A$36,"&gt;="&amp;B7,'成长内容台账'!$A$5:$A$36,"&lt;="&amp;C7,'成长内容台账'!$AD$5:$AD$36,"已发布"),0)</x:f>
        <x:v>0</x:v>
      </x:c>
      <x:c r="M7" s="256" t="n">
        <x:f>SUMIFS('成长内容台账'!$U$5:$U$36,'成长内容台账'!$A$5:$A$36,"&gt;="&amp;B7,'成长内容台账'!$A$5:$A$36,"&lt;="&amp;C7)</x:f>
        <x:v>0</x:v>
      </x:c>
      <x:c r="N7" s="255" t="n">
        <x:f>IFERROR((SUMIFS('成长内容台账'!$Y$5:$Y$36,'成长内容台账'!$A$5:$A$36,"&gt;="&amp;B7,'成长内容台账'!$A$5:$A$36,"&lt;="&amp;C7)+SUMIFS('成长内容台账'!$Z$5:$Z$36,'成长内容台账'!$A$5:$A$36,"&gt;="&amp;B7,'成长内容台账'!$A$5:$A$36,"&lt;="&amp;C7)+SUMIFS('成长内容台账'!$AA$5:$AA$36,'成长内容台账'!$A$5:$A$36,"&gt;="&amp;B7,'成长内容台账'!$A$5:$A$36,"&lt;="&amp;C7)+SUMIFS('成长内容台账'!$AB$5:$AB$36,'成长内容台账'!$A$5:$A$36,"&gt;="&amp;B7,'成长内容台账'!$A$5:$A$36,"&lt;="&amp;C7))/M7,0)</x:f>
        <x:v>0</x:v>
      </x:c>
      <x:c r="O7" s="316" t="str"/>
      <x:c r="P7" s="316" t="str"/>
      <x:c r="Q7" s="316" t="str"/>
      <x:c r="R7" s="316" t="str"/>
      <x:c r="S7" s="316" t="str"/>
      <x:c r="T7" s="316" t="str"/>
      <x:c r="U7" s="316" t="str"/>
    </x:row>
    <x:row r="8" ht="52" customHeight="1">
      <x:c r="A8" s="234" t="n">
        <x:v>4</x:v>
      </x:c>
      <x:c r="B8" s="233" t="n">
        <x:v>46239</x:v>
      </x:c>
      <x:c r="C8" s="233" t="n">
        <x:v>46245</x:v>
      </x:c>
      <x:c r="D8" s="316" t="str"/>
      <x:c r="E8" s="316" t="str"/>
      <x:c r="F8" s="316" t="str"/>
      <x:c r="G8" s="316" t="str"/>
      <x:c r="H8" s="316" t="str"/>
      <x:c r="I8" s="316" t="str"/>
      <x:c r="J8" s="234" t="n">
        <x:f>COUNTIFS('成长内容台账'!$A$5:$A$36,"&gt;="&amp;B8,'成长内容台账'!$A$5:$A$36,"&lt;="&amp;C8,'成长内容台账'!$AD$5:$AD$36,"已发布")</x:f>
        <x:v>0</x:v>
      </x:c>
      <x:c r="K8" s="255" t="n">
        <x:f>IFERROR(AVERAGEIFS('成长内容台账'!$V$5:$V$36,'成长内容台账'!$A$5:$A$36,"&gt;="&amp;B8,'成长内容台账'!$A$5:$A$36,"&lt;="&amp;C8,'成长内容台账'!$AD$5:$AD$36,"已发布"),0)</x:f>
        <x:v>0</x:v>
      </x:c>
      <x:c r="L8" s="255" t="n">
        <x:f>IFERROR(AVERAGEIFS('成长内容台账'!$X$5:$X$36,'成长内容台账'!$A$5:$A$36,"&gt;="&amp;B8,'成长内容台账'!$A$5:$A$36,"&lt;="&amp;C8,'成长内容台账'!$AD$5:$AD$36,"已发布"),0)</x:f>
        <x:v>0</x:v>
      </x:c>
      <x:c r="M8" s="256" t="n">
        <x:f>SUMIFS('成长内容台账'!$U$5:$U$36,'成长内容台账'!$A$5:$A$36,"&gt;="&amp;B8,'成长内容台账'!$A$5:$A$36,"&lt;="&amp;C8)</x:f>
        <x:v>0</x:v>
      </x:c>
      <x:c r="N8" s="255" t="n">
        <x:f>IFERROR((SUMIFS('成长内容台账'!$Y$5:$Y$36,'成长内容台账'!$A$5:$A$36,"&gt;="&amp;B8,'成长内容台账'!$A$5:$A$36,"&lt;="&amp;C8)+SUMIFS('成长内容台账'!$Z$5:$Z$36,'成长内容台账'!$A$5:$A$36,"&gt;="&amp;B8,'成长内容台账'!$A$5:$A$36,"&lt;="&amp;C8)+SUMIFS('成长内容台账'!$AA$5:$AA$36,'成长内容台账'!$A$5:$A$36,"&gt;="&amp;B8,'成长内容台账'!$A$5:$A$36,"&lt;="&amp;C8)+SUMIFS('成长内容台账'!$AB$5:$AB$36,'成长内容台账'!$A$5:$A$36,"&gt;="&amp;B8,'成长内容台账'!$A$5:$A$36,"&lt;="&amp;C8))/M8,0)</x:f>
        <x:v>0</x:v>
      </x:c>
      <x:c r="O8" s="316" t="str"/>
      <x:c r="P8" s="316" t="str"/>
      <x:c r="Q8" s="316" t="str"/>
      <x:c r="R8" s="316" t="str"/>
      <x:c r="S8" s="316" t="str"/>
      <x:c r="T8" s="316" t="str"/>
      <x:c r="U8" s="316" t="str"/>
    </x:row>
    <x:row r="9" ht="52" customHeight="1">
      <x:c r="A9" s="234" t="n">
        <x:v>5</x:v>
      </x:c>
      <x:c r="B9" s="233" t="n">
        <x:v>46246</x:v>
      </x:c>
      <x:c r="C9" s="233" t="n">
        <x:v>46252</x:v>
      </x:c>
      <x:c r="D9" s="316" t="str"/>
      <x:c r="E9" s="316" t="str"/>
      <x:c r="F9" s="316" t="str"/>
      <x:c r="G9" s="316" t="str"/>
      <x:c r="H9" s="316" t="str"/>
      <x:c r="I9" s="316" t="str"/>
      <x:c r="J9" s="234" t="n">
        <x:f>COUNTIFS('成长内容台账'!$A$5:$A$36,"&gt;="&amp;B9,'成长内容台账'!$A$5:$A$36,"&lt;="&amp;C9,'成长内容台账'!$AD$5:$AD$36,"已发布")</x:f>
        <x:v>0</x:v>
      </x:c>
      <x:c r="K9" s="255" t="n">
        <x:f>IFERROR(AVERAGEIFS('成长内容台账'!$V$5:$V$36,'成长内容台账'!$A$5:$A$36,"&gt;="&amp;B9,'成长内容台账'!$A$5:$A$36,"&lt;="&amp;C9,'成长内容台账'!$AD$5:$AD$36,"已发布"),0)</x:f>
        <x:v>0</x:v>
      </x:c>
      <x:c r="L9" s="255" t="n">
        <x:f>IFERROR(AVERAGEIFS('成长内容台账'!$X$5:$X$36,'成长内容台账'!$A$5:$A$36,"&gt;="&amp;B9,'成长内容台账'!$A$5:$A$36,"&lt;="&amp;C9,'成长内容台账'!$AD$5:$AD$36,"已发布"),0)</x:f>
        <x:v>0</x:v>
      </x:c>
      <x:c r="M9" s="256" t="n">
        <x:f>SUMIFS('成长内容台账'!$U$5:$U$36,'成长内容台账'!$A$5:$A$36,"&gt;="&amp;B9,'成长内容台账'!$A$5:$A$36,"&lt;="&amp;C9)</x:f>
        <x:v>0</x:v>
      </x:c>
      <x:c r="N9" s="255" t="n">
        <x:f>IFERROR((SUMIFS('成长内容台账'!$Y$5:$Y$36,'成长内容台账'!$A$5:$A$36,"&gt;="&amp;B9,'成长内容台账'!$A$5:$A$36,"&lt;="&amp;C9)+SUMIFS('成长内容台账'!$Z$5:$Z$36,'成长内容台账'!$A$5:$A$36,"&gt;="&amp;B9,'成长内容台账'!$A$5:$A$36,"&lt;="&amp;C9)+SUMIFS('成长内容台账'!$AA$5:$AA$36,'成长内容台账'!$A$5:$A$36,"&gt;="&amp;B9,'成长内容台账'!$A$5:$A$36,"&lt;="&amp;C9)+SUMIFS('成长内容台账'!$AB$5:$AB$36,'成长内容台账'!$A$5:$A$36,"&gt;="&amp;B9,'成长内容台账'!$A$5:$A$36,"&lt;="&amp;C9))/M9,0)</x:f>
        <x:v>0</x:v>
      </x:c>
      <x:c r="O9" s="316" t="str"/>
      <x:c r="P9" s="316" t="str"/>
      <x:c r="Q9" s="316" t="str"/>
      <x:c r="R9" s="316" t="str"/>
      <x:c r="S9" s="316" t="str"/>
      <x:c r="T9" s="316" t="str"/>
      <x:c r="U9" s="316" t="str"/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e87d387481f34ee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6" hidden="0" customWidth="1"/>
    <x:col min="4" max="4" width="38" hidden="0" customWidth="1"/>
    <x:col min="5" max="5" width="38" hidden="0" customWidth="1"/>
  </x:cols>
  <x:sheetData>
    <x:row r="1" ht="34" customHeight="1">
      <x:c r="A1" s="279" t="str">
        <x:v>成长型选题评分规则</x:v>
      </x:c>
      <x:c r="B1" s="279" t="str">
        <x:v>成长型选题评分规则</x:v>
      </x:c>
      <x:c r="C1" s="279" t="str">
        <x:v>成长型选题评分规则</x:v>
      </x:c>
      <x:c r="D1" s="279" t="str">
        <x:v>成长型选题评分规则</x:v>
      </x:c>
      <x:c r="E1" s="279" t="str">
        <x:v>成长型选题评分规则</x:v>
      </x:c>
    </x:row>
    <x:row r="3" ht="38" customHeight="1">
      <x:c r="A3" s="294" t="str">
        <x:v>维度</x:v>
      </x:c>
      <x:c r="B3" s="295" t="str">
        <x:v>权重</x:v>
      </x:c>
      <x:c r="C3" s="295" t="str">
        <x:v>1—3分</x:v>
      </x:c>
      <x:c r="D3" s="295" t="str">
        <x:v>4—7分</x:v>
      </x:c>
      <x:c r="E3" s="296" t="str">
        <x:v>8—10分</x:v>
      </x:c>
    </x:row>
    <x:row r="4" ht="44" customHeight="1">
      <x:c r="A4" s="319" t="str">
        <x:v>真实性和证据充分度</x:v>
      </x:c>
      <x:c r="B4" s="228" t="n">
        <x:v>18</x:v>
      </x:c>
      <x:c r="C4" s="228" t="str">
        <x:v>无法证明或只是计划</x:v>
      </x:c>
      <x:c r="D4" s="228" t="str">
        <x:v>有过程记录但结果弱</x:v>
      </x:c>
      <x:c r="E4" s="228" t="str">
        <x:v>有直接证据且可公开</x:v>
      </x:c>
    </x:row>
    <x:row r="5" ht="44" customHeight="1">
      <x:c r="A5" s="320" t="str">
        <x:v>30天主线连续性</x:v>
      </x:c>
      <x:c r="B5" s="234" t="n">
        <x:v>12</x:v>
      </x:c>
      <x:c r="C5" s="234" t="str">
        <x:v>与路线无关</x:v>
      </x:c>
      <x:c r="D5" s="234" t="str">
        <x:v>能解释本周任务</x:v>
      </x:c>
      <x:c r="E5" s="234" t="str">
        <x:v>承接昨日并留下明日挑战</x:v>
      </x:c>
    </x:row>
    <x:row r="6" ht="44" customHeight="1">
      <x:c r="A6" s="320" t="str">
        <x:v>普通观众实用价值</x:v>
      </x:c>
      <x:c r="B6" s="234" t="n">
        <x:v>14</x:v>
      </x:c>
      <x:c r="C6" s="234" t="str">
        <x:v>只有个人流水账</x:v>
      </x:c>
      <x:c r="D6" s="234" t="str">
        <x:v>有信息但难复用</x:v>
      </x:c>
      <x:c r="E6" s="234" t="str">
        <x:v>有明确可带走方法</x:v>
      </x:c>
    </x:row>
    <x:row r="7" ht="44" customHeight="1">
      <x:c r="A7" s="320" t="str">
        <x:v>变化/冲突/失败/结果</x:v>
      </x:c>
      <x:c r="B7" s="234" t="n">
        <x:v>13</x:v>
      </x:c>
      <x:c r="C7" s="234" t="str">
        <x:v>没有变化</x:v>
      </x:c>
      <x:c r="D7" s="234" t="str">
        <x:v>有过程或轻微差异</x:v>
      </x:c>
      <x:c r="E7" s="234" t="str">
        <x:v>冲突清楚且结果具体</x:v>
      </x:c>
    </x:row>
    <x:row r="8" ht="44" customHeight="1">
      <x:c r="A8" s="320" t="str">
        <x:v>画面展示</x:v>
      </x:c>
      <x:c r="B8" s="234" t="n">
        <x:v>10</x:v>
      </x:c>
      <x:c r="C8" s="234" t="str">
        <x:v>无可用画面</x:v>
      </x:c>
      <x:c r="D8" s="234" t="str">
        <x:v>能做示意图</x:v>
      </x:c>
      <x:c r="E8" s="234" t="str">
        <x:v>有文件/功能/前后对比</x:v>
      </x:c>
    </x:row>
    <x:row r="9" ht="44" customHeight="1">
      <x:c r="A9" s="320" t="str">
        <x:v>讲成人话</x:v>
      </x:c>
      <x:c r="B9" s="234" t="n">
        <x:v>9</x:v>
      </x:c>
      <x:c r="C9" s="234" t="str">
        <x:v>概念堆砌</x:v>
      </x:c>
      <x:c r="D9" s="234" t="str">
        <x:v>基本听懂</x:v>
      </x:c>
      <x:c r="E9" s="234" t="str">
        <x:v>一句话能说明问题</x:v>
      </x:c>
    </x:row>
    <x:row r="10" ht="44" customHeight="1">
      <x:c r="A10" s="320" t="str">
        <x:v>共鸣或讨论</x:v>
      </x:c>
      <x:c r="B10" s="234" t="n">
        <x:v>8</x:v>
      </x:c>
      <x:c r="C10" s="234" t="str">
        <x:v>观众无从回答</x:v>
      </x:c>
      <x:c r="D10" s="234" t="str">
        <x:v>有泛问题</x:v>
      </x:c>
      <x:c r="E10" s="234" t="str">
        <x:v>观众可用自身经验回答</x:v>
      </x:c>
    </x:row>
    <x:row r="11" ht="44" customHeight="1">
      <x:c r="A11" s="320" t="str">
        <x:v>明日悬念</x:v>
      </x:c>
      <x:c r="B11" s="234" t="n">
        <x:v>7</x:v>
      </x:c>
      <x:c r="C11" s="234" t="str">
        <x:v>内容当天结束</x:v>
      </x:c>
      <x:c r="D11" s="234" t="str">
        <x:v>有模糊下一步</x:v>
      </x:c>
      <x:c r="E11" s="234" t="str">
        <x:v>明天挑战具体可验证</x:v>
      </x:c>
    </x:row>
    <x:row r="12" ht="44" customHeight="1">
      <x:c r="A12" s="320" t="str">
        <x:v>当天制作可行性</x:v>
      </x:c>
      <x:c r="B12" s="234" t="n">
        <x:v>9</x:v>
      </x:c>
      <x:c r="C12" s="234" t="str">
        <x:v>证据/拍摄无法取得</x:v>
      </x:c>
      <x:c r="D12" s="234" t="str">
        <x:v>需较多补充</x:v>
      </x:c>
      <x:c r="E12" s="234" t="str">
        <x:v>当天能安全完成</x:v>
      </x:c>
    </x:row>
    <x:row r="13" ht="44" customHeight="1">
      <x:c r="A13" s="320" t="str">
        <x:v>风险（不计正向权重）</x:v>
      </x:c>
      <x:c r="B13" s="234" t="n">
        <x:v>0</x:v>
      </x:c>
      <x:c r="C13" s="234" t="str">
        <x:v>1—3低风险</x:v>
      </x:c>
      <x:c r="D13" s="234" t="str">
        <x:v>4—5加强审核</x:v>
      </x:c>
      <x:c r="E13" s="234" t="str">
        <x:v>6—10通常不做主选</x:v>
      </x:c>
    </x:row>
    <x:row r="15">
      <x:c r="A15" s="322" t="str">
        <x:v>公式：正向分=Σ(九个正向维度×权重)÷10；风险扣分=max(0,风险-3)×3；推荐指数=正向分-风险扣分。</x:v>
      </x:c>
      <x:c r="B15" s="322"/>
      <x:c r="C15" s="322"/>
      <x:c r="D15" s="322"/>
      <x:c r="E15" s="322"/>
    </x:row>
    <x:row r="17" ht="38" customHeight="1">
      <x:c r="A17" s="294" t="str">
        <x:v>硬门槛</x:v>
      </x:c>
      <x:c r="B17" s="295" t="str">
        <x:v>要求</x:v>
      </x:c>
      <x:c r="C17" s="295" t="str"/>
      <x:c r="D17" s="295" t="str"/>
      <x:c r="E17" s="296" t="str"/>
    </x:row>
    <x:row r="18">
      <x:c r="A18" s="329" t="str">
        <x:v>真实证据</x:v>
      </x:c>
      <x:c r="B18" s="228" t="str">
        <x:v>真实性≥8，至少一个可公开直接结果</x:v>
      </x:c>
      <x:c r="C18" s="228" t="str"/>
      <x:c r="D18" s="228" t="str"/>
      <x:c r="E18" s="228" t="str"/>
    </x:row>
    <x:row r="19">
      <x:c r="A19" s="330" t="str">
        <x:v>内容价值</x:v>
      </x:c>
      <x:c r="B19" s="234" t="str">
        <x:v>必须有观众收益、主线连续和明日挑战</x:v>
      </x:c>
      <x:c r="C19" s="234" t="str"/>
      <x:c r="D19" s="234" t="str"/>
      <x:c r="E19" s="234" t="str"/>
    </x:row>
    <x:row r="20">
      <x:c r="A20" s="330" t="str">
        <x:v>禁止主选</x:v>
      </x:c>
      <x:c r="B20" s="234" t="str">
        <x:v>只有学习流水账、证据缺失或风险&gt;5</x:v>
      </x:c>
      <x:c r="C20" s="234" t="str"/>
      <x:c r="D20" s="234" t="str"/>
      <x:c r="E20" s="234" t="str"/>
    </x:row>
  </x:sheetData>
  <x:mergeCells>
    <x:mergeCell ref="A1:E1"/>
    <x:mergeCell ref="A15:E15"/>
    <x:mergeCell ref="B18:E18"/>
    <x:mergeCell ref="B19:E19"/>
    <x:mergeCell ref="B20:E20"/>
  </x:mergeCells>
  <x:pageMargins left="0.7" right="0.7" top="0.75" bottom="0.75" header="0.3" footer="0.3"/>
</x:worksheet>
</file>