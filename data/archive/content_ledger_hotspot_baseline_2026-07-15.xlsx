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080591ced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e2d3771ebfbe4564"/>
    <x:sheet xmlns:r="http://schemas.openxmlformats.org/officeDocument/2006/relationships" name="内容台账" sheetId="2" r:id="R6029c5e3fb254947"/>
    <x:sheet xmlns:r="http://schemas.openxmlformats.org/officeDocument/2006/relationships" name="候选评分" sheetId="3" r:id="Rc58eb749f02747cc"/>
    <x:sheet xmlns:r="http://schemas.openxmlformats.org/officeDocument/2006/relationships" name="每周复盘" sheetId="4" r:id="Rd325df78eb134f49"/>
    <x:sheet xmlns:r="http://schemas.openxmlformats.org/officeDocument/2006/relationships" name="评分规则" sheetId="5" r:id="Re71423f5aadd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"/>
    <x:numFmt numFmtId="202" formatCode="0.0"/>
    <x:numFmt numFmtId="203" formatCode="yyyy-mm-dd"/>
    <x:numFmt numFmtId="204" formatCode="#,##0"/>
  </x:numFmts>
  <x:fonts count="2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3746"/>
      <x:name val="Carlito"/>
    </x:font>
    <x:font>
      <x:b/>
      <x:sz val="11"/>
      <x:color rgb="FFFFFFFF"/>
      <x:name val="Carlito"/>
    </x:font>
    <x:font>
      <x:b/>
      <x:sz val="22"/>
      <x:color rgb="FF17324D"/>
      <x:name val="Carlito"/>
    </x:font>
    <x:font>
      <x:b/>
      <x:sz val="20"/>
      <x:color rgb="FF1F7A78"/>
      <x:name val="Carlito"/>
    </x:font>
    <x:font>
      <x:b/>
      <x:sz val="11"/>
      <x:color rgb="FF243746"/>
      <x:name val="Carlito"/>
    </x:font>
    <x:font>
      <x:b/>
      <x:sz val="18"/>
      <x:color rgb="FFFFFFFF"/>
      <x:name val="Microsoft YaHei"/>
    </x:font>
    <x:font>
      <x:i/>
      <x:sz val="11"/>
      <x:color rgb="FF243746"/>
      <x:name val="Microsoft YaHei"/>
    </x:font>
    <x:font>
      <x:b/>
      <x:sz val="11"/>
      <x:color rgb="FFFFFFFF"/>
      <x:name val="Microsoft YaHei"/>
    </x:font>
    <x:font>
      <x:b/>
      <x:sz val="22"/>
      <x:color rgb="FF17324D"/>
      <x:name val="Microsoft YaHei"/>
    </x:font>
    <x:font>
      <x:sz val="11"/>
      <x:name val="Microsoft YaHei"/>
    </x:font>
    <x:font>
      <x:b/>
      <x:sz val="20"/>
      <x:color rgb="FF1F7A78"/>
      <x:name val="Microsoft YaHei"/>
    </x:font>
    <x:font>
      <x:b/>
      <x:sz val="11"/>
      <x:color rgb="FF243746"/>
      <x:name val="Microsoft YaHei"/>
    </x:font>
    <x:font>
      <x:sz val="11"/>
      <x:color rgb="FF243746"/>
      <x:name val="Carlito"/>
    </x:font>
    <x:font>
      <x:b/>
      <x:sz val="10"/>
      <x:color rgb="FFFFFFFF"/>
      <x:name val="Microsoft YaHei"/>
    </x:font>
    <x:font>
      <x:sz val="10"/>
      <x:color rgb="FF243746"/>
      <x:name val="Microsoft YaHei"/>
    </x:font>
    <x:font>
      <x:sz val="10"/>
      <x:name val="Microsoft YaHei"/>
    </x:font>
    <x:font>
      <x:b/>
      <x:sz val="11"/>
      <x:name val="Carlito"/>
    </x:font>
    <x:font>
      <x:b/>
      <x:sz val="10"/>
      <x:color rgb="FF243746"/>
      <x:name val="Microsoft YaHei"/>
    </x:font>
    <x:font>
      <x:b/>
      <x:sz val="10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DFF3E4"/>
      </x:patternFill>
    </x:fill>
    <x:fill>
      <x:patternFill patternType="solid">
        <x:fgColor rgb="FFFFF3CD"/>
      </x:patternFill>
    </x:fill>
    <x:fill>
      <x:patternFill patternType="solid">
        <x:fgColor rgb="FF1F7A78"/>
      </x:patternFill>
    </x:fill>
    <x:fill>
      <x:patternFill patternType="solid">
        <x:fgColor rgb="FFEEF8F7"/>
      </x:patternFill>
    </x:fill>
    <x:fill>
      <x:patternFill patternType="solid">
        <x:fgColor rgb="FF2F6B9A"/>
      </x:patternFill>
    </x:fill>
    <x:fill>
      <x:patternFill patternType="solid">
        <x:fgColor rgb="FFF3F5F7"/>
      </x:patternFill>
    </x:fill>
    <x:fill>
      <x:patternFill patternType="solid">
        <x:fgColor rgb="FFFFFDF2"/>
      </x:patternFill>
    </x:fill>
  </x:fills>
  <x:borders count="9">
    <x:border/>
    <x:border>
      <x:left style="thin">
        <x:color rgb="FFD8E0E7"/>
      </x:left>
      <x:top style="thin">
        <x:color rgb="FFD8E0E7"/>
      </x:top>
    </x:border>
    <x:border>
      <x:right style="thin">
        <x:color rgb="FFD8E0E7"/>
      </x:right>
      <x:top style="thin">
        <x:color rgb="FFD8E0E7"/>
      </x:top>
    </x:border>
    <x:border>
      <x:left style="thin">
        <x:color rgb="FFD8E0E7"/>
      </x:left>
      <x:bottom style="thin">
        <x:color rgb="FFD8E0E7"/>
      </x:bottom>
    </x:border>
    <x:border>
      <x:right style="thin">
        <x:color rgb="FFD8E0E7"/>
      </x:right>
      <x:bottom style="thin">
        <x:color rgb="FFD8E0E7"/>
      </x:bottom>
    </x:border>
    <x:border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  <x:border>
      <x:left style="thin">
        <x:color rgb="FFD8E0E7"/>
      </x:left>
      <x:top style="thin">
        <x:color rgb="FFD8E0E7"/>
      </x:top>
      <x:bottom style="thin">
        <x:color rgb="FFD8E0E7"/>
      </x:bottom>
    </x:border>
    <x:border>
      <x:right style="thin">
        <x:color rgb="FFD8E0E7"/>
      </x:right>
      <x:top style="thin">
        <x:color rgb="FFD8E0E7"/>
      </x:top>
      <x:bottom style="thin">
        <x:color rgb="FFD8E0E7"/>
      </x:bottom>
    </x:border>
  </x:borders>
  <x:cellStyleXfs count="1">
    <x:xf numFmtId="0" fontId="0" fillId="0" borderId="0"/>
  </x:cellStyleXfs>
  <x:cellXfs count="2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200" fontId="4" fillId="4" borderId="1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200" fontId="4" fillId="3" borderId="1" xfId="0" applyNumberFormat="1" applyFont="1" applyFill="1" applyBorder="1"/>
    <x:xf numFmtId="200" fontId="4" fillId="3" borderId="2" xfId="0" applyNumberFormat="1" applyFont="1" applyFill="1" applyBorder="1"/>
    <x:xf numFmtId="200" fontId="4" fillId="3" borderId="3" xfId="0" applyNumberFormat="1" applyFont="1" applyFill="1" applyBorder="1"/>
    <x:xf numFmtId="200" fontId="4" fillId="3" borderId="4" xfId="0" applyNumberFormat="1" applyFont="1" applyFill="1" applyBorder="1"/>
    <x:xf numFmtId="200" fontId="4" fillId="3" borderId="1" xfId="0" applyNumberFormat="1" applyFont="1" applyFill="1" applyBorder="1" applyAlignment="1">
      <x:alignment horizontal="center"/>
    </x:xf>
    <x:xf numFmtId="200" fontId="4" fillId="3" borderId="2" xfId="0" applyNumberFormat="1" applyFont="1" applyFill="1" applyBorder="1" applyAlignment="1">
      <x:alignment horizontal="center"/>
    </x:xf>
    <x:xf numFmtId="200" fontId="4" fillId="3" borderId="3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201" fontId="5" fillId="7" borderId="1" xfId="0" applyNumberFormat="1" applyFont="1" applyFill="1" applyBorder="1"/>
    <x:xf numFmtId="201" fontId="5" fillId="7" borderId="2" xfId="0" applyNumberFormat="1" applyFont="1" applyFill="1" applyBorder="1"/>
    <x:xf numFmtId="201" fontId="5" fillId="7" borderId="3" xfId="0" applyNumberFormat="1" applyFont="1" applyFill="1" applyBorder="1"/>
    <x:xf numFmtId="201" fontId="5" fillId="7" borderId="4" xfId="0" applyNumberFormat="1" applyFont="1" applyFill="1" applyBorder="1"/>
    <x:xf numFmtId="201" fontId="5" fillId="7" borderId="1" xfId="0" applyNumberFormat="1" applyFont="1" applyFill="1" applyBorder="1" applyAlignment="1">
      <x:alignment horizontal="center"/>
    </x:xf>
    <x:xf numFmtId="201" fontId="5" fillId="7" borderId="2" xfId="0" applyNumberFormat="1" applyFont="1" applyFill="1" applyBorder="1" applyAlignment="1">
      <x:alignment horizontal="center"/>
    </x:xf>
    <x:xf numFmtId="201" fontId="5" fillId="7" borderId="3" xfId="0" applyNumberFormat="1" applyFont="1" applyFill="1" applyBorder="1" applyAlignment="1">
      <x:alignment horizontal="center"/>
    </x:xf>
    <x:xf numFmtId="201" fontId="5" fillId="7" borderId="4" xfId="0" applyNumberFormat="1" applyFont="1" applyFill="1" applyBorder="1" applyAlignment="1">
      <x:alignment horizontal="center"/>
    </x:xf>
    <x:xf numFmtId="201" fontId="5" fillId="7" borderId="1" xfId="0" applyNumberFormat="1" applyFont="1" applyFill="1" applyBorder="1" applyAlignment="1">
      <x:alignment horizontal="center" vertical="center"/>
    </x:xf>
    <x:xf numFmtId="201" fontId="5" fillId="7" borderId="2" xfId="0" applyNumberFormat="1" applyFont="1" applyFill="1" applyBorder="1" applyAlignment="1">
      <x:alignment horizontal="center" vertical="center"/>
    </x:xf>
    <x:xf numFmtId="201" fontId="5" fillId="7" borderId="3" xfId="0" applyNumberFormat="1" applyFont="1" applyFill="1" applyBorder="1" applyAlignment="1">
      <x:alignment horizontal="center" vertical="center"/>
    </x:xf>
    <x:xf numFmtId="201" fontId="5" fillId="7" borderId="4" xfId="0" applyNumberFormat="1" applyFont="1" applyFill="1" applyBorder="1" applyAlignment="1">
      <x:alignment horizontal="center" vertical="center"/>
    </x:xf>
    <x:xf numFmtId="202" fontId="5" fillId="7" borderId="1" xfId="0" applyNumberFormat="1" applyFont="1" applyFill="1" applyBorder="1"/>
    <x:xf numFmtId="202" fontId="5" fillId="7" borderId="2" xfId="0" applyNumberFormat="1" applyFont="1" applyFill="1" applyBorder="1"/>
    <x:xf numFmtId="202" fontId="5" fillId="7" borderId="3" xfId="0" applyNumberFormat="1" applyFont="1" applyFill="1" applyBorder="1"/>
    <x:xf numFmtId="202" fontId="5" fillId="7" borderId="4" xfId="0" applyNumberFormat="1" applyFont="1" applyFill="1" applyBorder="1"/>
    <x:xf numFmtId="202" fontId="5" fillId="7" borderId="1" xfId="0" applyNumberFormat="1" applyFont="1" applyFill="1" applyBorder="1" applyAlignment="1">
      <x:alignment horizontal="center"/>
    </x:xf>
    <x:xf numFmtId="202" fontId="5" fillId="7" borderId="2" xfId="0" applyNumberFormat="1" applyFont="1" applyFill="1" applyBorder="1" applyAlignment="1">
      <x:alignment horizontal="center"/>
    </x:xf>
    <x:xf numFmtId="202" fontId="5" fillId="7" borderId="3" xfId="0" applyNumberFormat="1" applyFont="1" applyFill="1" applyBorder="1" applyAlignment="1">
      <x:alignment horizontal="center"/>
    </x:xf>
    <x:xf numFmtId="202" fontId="5" fillId="7" borderId="4" xfId="0" applyNumberFormat="1" applyFont="1" applyFill="1" applyBorder="1" applyAlignment="1">
      <x:alignment horizontal="center"/>
    </x:xf>
    <x:xf numFmtId="202" fontId="5" fillId="7" borderId="1" xfId="0" applyNumberFormat="1" applyFont="1" applyFill="1" applyBorder="1" applyAlignment="1">
      <x:alignment horizontal="center" vertical="center"/>
    </x:xf>
    <x:xf numFmtId="202" fontId="5" fillId="7" borderId="2" xfId="0" applyNumberFormat="1" applyFont="1" applyFill="1" applyBorder="1" applyAlignment="1">
      <x:alignment horizontal="center" vertical="center"/>
    </x:xf>
    <x:xf numFmtId="202" fontId="5" fillId="7" borderId="3" xfId="0" applyNumberFormat="1" applyFont="1" applyFill="1" applyBorder="1" applyAlignment="1">
      <x:alignment horizontal="center" vertical="center"/>
    </x:xf>
    <x:xf numFmtId="202" fontId="5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9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6" fillId="9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6" fillId="9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/>
    </x:xf>
    <x:xf numFmtId="200" fontId="10" fillId="4" borderId="1" xfId="0" applyNumberFormat="1" applyFont="1" applyFill="1" applyBorder="1" applyAlignment="1">
      <x:alignment horizontal="center" vertical="center"/>
    </x:xf>
    <x:xf numFmtId="200" fontId="10" fillId="4" borderId="2" xfId="0" applyNumberFormat="1" applyFont="1" applyFill="1" applyBorder="1" applyAlignment="1">
      <x:alignment horizontal="center" vertical="center"/>
    </x:xf>
    <x:xf numFmtId="200" fontId="10" fillId="5" borderId="1" xfId="0" applyNumberFormat="1" applyFont="1" applyFill="1" applyBorder="1" applyAlignment="1">
      <x:alignment horizontal="center" vertical="center"/>
    </x:xf>
    <x:xf numFmtId="200" fontId="10" fillId="5" borderId="2" xfId="0" applyNumberFormat="1" applyFont="1" applyFill="1" applyBorder="1" applyAlignment="1">
      <x:alignment horizontal="center" vertical="center"/>
    </x:xf>
    <x:xf numFmtId="200" fontId="10" fillId="3" borderId="1" xfId="0" applyNumberFormat="1" applyFont="1" applyFill="1" applyBorder="1" applyAlignment="1">
      <x:alignment horizontal="center" vertical="center"/>
    </x:xf>
    <x:xf numFmtId="200" fontId="10" fillId="3" borderId="2" xfId="0" applyNumberFormat="1" applyFont="1" applyFill="1" applyBorder="1" applyAlignment="1">
      <x:alignment horizontal="center" vertical="center"/>
    </x:xf>
    <x:xf numFmtId="200" fontId="10" fillId="4" borderId="3" xfId="0" applyNumberFormat="1" applyFont="1" applyFill="1" applyBorder="1" applyAlignment="1">
      <x:alignment horizontal="center" vertical="center"/>
    </x:xf>
    <x:xf numFmtId="200" fontId="10" fillId="4" borderId="4" xfId="0" applyNumberFormat="1" applyFont="1" applyFill="1" applyBorder="1" applyAlignment="1">
      <x:alignment horizontal="center" vertical="center"/>
    </x:xf>
    <x:xf numFmtId="200" fontId="10" fillId="5" borderId="3" xfId="0" applyNumberFormat="1" applyFont="1" applyFill="1" applyBorder="1" applyAlignment="1">
      <x:alignment horizontal="center" vertical="center"/>
    </x:xf>
    <x:xf numFmtId="200" fontId="10" fillId="5" borderId="4" xfId="0" applyNumberFormat="1" applyFont="1" applyFill="1" applyBorder="1" applyAlignment="1">
      <x:alignment horizontal="center" vertical="center"/>
    </x:xf>
    <x:xf numFmtId="200" fontId="10" fillId="3" borderId="3" xfId="0" applyNumberFormat="1" applyFont="1" applyFill="1" applyBorder="1" applyAlignment="1">
      <x:alignment horizontal="center" vertical="center"/>
    </x:xf>
    <x:xf numFmtId="200" fontId="10" fillId="3" borderId="4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 vertical="center"/>
    </x:xf>
    <x:xf numFmtId="201" fontId="12" fillId="7" borderId="1" xfId="0" applyNumberFormat="1" applyFont="1" applyFill="1" applyBorder="1" applyAlignment="1">
      <x:alignment horizontal="center" vertical="center"/>
    </x:xf>
    <x:xf numFmtId="201" fontId="12" fillId="7" borderId="2" xfId="0" applyNumberFormat="1" applyFont="1" applyFill="1" applyBorder="1" applyAlignment="1">
      <x:alignment horizontal="center" vertical="center"/>
    </x:xf>
    <x:xf numFmtId="202" fontId="12" fillId="7" borderId="1" xfId="0" applyNumberFormat="1" applyFont="1" applyFill="1" applyBorder="1" applyAlignment="1">
      <x:alignment horizontal="center" vertical="center"/>
    </x:xf>
    <x:xf numFmtId="202" fontId="12" fillId="7" borderId="2" xfId="0" applyNumberFormat="1" applyFont="1" applyFill="1" applyBorder="1" applyAlignment="1">
      <x:alignment horizontal="center" vertical="center"/>
    </x:xf>
    <x:xf numFmtId="201" fontId="12" fillId="7" borderId="3" xfId="0" applyNumberFormat="1" applyFont="1" applyFill="1" applyBorder="1" applyAlignment="1">
      <x:alignment horizontal="center" vertical="center"/>
    </x:xf>
    <x:xf numFmtId="201" fontId="12" fillId="7" borderId="4" xfId="0" applyNumberFormat="1" applyFont="1" applyFill="1" applyBorder="1" applyAlignment="1">
      <x:alignment horizontal="center" vertical="center"/>
    </x:xf>
    <x:xf numFmtId="202" fontId="12" fillId="7" borderId="3" xfId="0" applyNumberFormat="1" applyFont="1" applyFill="1" applyBorder="1" applyAlignment="1">
      <x:alignment horizontal="center" vertical="center"/>
    </x:xf>
    <x:xf numFmtId="202" fontId="12" fillId="7" borderId="4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/>
    <x:xf numFmtId="0" fontId="13" fillId="9" borderId="5" xfId="0" applyNumberFormat="1" applyFont="1" applyFill="1" applyBorder="1" applyAlignment="1">
      <x:alignment vertical="center"/>
    </x:xf>
    <x:xf numFmtId="0" fontId="11" fillId="0" borderId="5" xfId="0" applyNumberFormat="1" applyFont="1" applyFill="1" applyBorder="1" applyAlignment="1">
      <x:alignment vertical="center" wrapText="1"/>
    </x:xf>
    <x:xf numFmtId="0" fontId="13" fillId="9" borderId="6" xfId="0" applyNumberFormat="1" applyFont="1" applyFill="1" applyBorder="1" applyAlignment="1">
      <x:alignment vertical="center"/>
    </x:xf>
    <x:xf numFmtId="0" fontId="11" fillId="0" borderId="6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200" fontId="10" fillId="4" borderId="1" xfId="0" applyNumberFormat="1" applyFont="1" applyFill="1" applyBorder="1" applyAlignment="1">
      <x:alignment horizontal="center" vertical="center" wrapText="1"/>
    </x:xf>
    <x:xf numFmtId="200" fontId="10" fillId="4" borderId="2" xfId="0" applyNumberFormat="1" applyFont="1" applyFill="1" applyBorder="1" applyAlignment="1">
      <x:alignment horizontal="center" vertical="center" wrapText="1"/>
    </x:xf>
    <x:xf numFmtId="200" fontId="10" fillId="5" borderId="1" xfId="0" applyNumberFormat="1" applyFont="1" applyFill="1" applyBorder="1" applyAlignment="1">
      <x:alignment horizontal="center" vertical="center" wrapText="1"/>
    </x:xf>
    <x:xf numFmtId="200" fontId="10" fillId="5" borderId="2" xfId="0" applyNumberFormat="1" applyFont="1" applyFill="1" applyBorder="1" applyAlignment="1">
      <x:alignment horizontal="center" vertical="center" wrapText="1"/>
    </x:xf>
    <x:xf numFmtId="200" fontId="10" fillId="3" borderId="1" xfId="0" applyNumberFormat="1" applyFont="1" applyFill="1" applyBorder="1" applyAlignment="1">
      <x:alignment horizontal="center" vertical="center" wrapText="1"/>
    </x:xf>
    <x:xf numFmtId="200" fontId="10" fillId="3" borderId="2" xfId="0" applyNumberFormat="1" applyFont="1" applyFill="1" applyBorder="1" applyAlignment="1">
      <x:alignment horizontal="center" vertical="center" wrapText="1"/>
    </x:xf>
    <x:xf numFmtId="200" fontId="10" fillId="4" borderId="3" xfId="0" applyNumberFormat="1" applyFont="1" applyFill="1" applyBorder="1" applyAlignment="1">
      <x:alignment horizontal="center" vertical="center" wrapText="1"/>
    </x:xf>
    <x:xf numFmtId="200" fontId="10" fillId="4" borderId="4" xfId="0" applyNumberFormat="1" applyFont="1" applyFill="1" applyBorder="1" applyAlignment="1">
      <x:alignment horizontal="center" vertical="center" wrapText="1"/>
    </x:xf>
    <x:xf numFmtId="200" fontId="10" fillId="5" borderId="3" xfId="0" applyNumberFormat="1" applyFont="1" applyFill="1" applyBorder="1" applyAlignment="1">
      <x:alignment horizontal="center" vertical="center" wrapText="1"/>
    </x:xf>
    <x:xf numFmtId="200" fontId="10" fillId="5" borderId="4" xfId="0" applyNumberFormat="1" applyFont="1" applyFill="1" applyBorder="1" applyAlignment="1">
      <x:alignment horizontal="center" vertical="center" wrapText="1"/>
    </x:xf>
    <x:xf numFmtId="200" fontId="10" fillId="3" borderId="3" xfId="0" applyNumberFormat="1" applyFont="1" applyFill="1" applyBorder="1" applyAlignment="1">
      <x:alignment horizontal="center" vertical="center" wrapText="1"/>
    </x:xf>
    <x:xf numFmtId="200" fontId="10" fillId="3" borderId="4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201" fontId="12" fillId="7" borderId="1" xfId="0" applyNumberFormat="1" applyFont="1" applyFill="1" applyBorder="1" applyAlignment="1">
      <x:alignment horizontal="center" vertical="center" wrapText="1"/>
    </x:xf>
    <x:xf numFmtId="201" fontId="12" fillId="7" borderId="2" xfId="0" applyNumberFormat="1" applyFont="1" applyFill="1" applyBorder="1" applyAlignment="1">
      <x:alignment horizontal="center" vertical="center" wrapText="1"/>
    </x:xf>
    <x:xf numFmtId="202" fontId="12" fillId="7" borderId="1" xfId="0" applyNumberFormat="1" applyFont="1" applyFill="1" applyBorder="1" applyAlignment="1">
      <x:alignment horizontal="center" vertical="center" wrapText="1"/>
    </x:xf>
    <x:xf numFmtId="202" fontId="12" fillId="7" borderId="2" xfId="0" applyNumberFormat="1" applyFont="1" applyFill="1" applyBorder="1" applyAlignment="1">
      <x:alignment horizontal="center" vertical="center" wrapText="1"/>
    </x:xf>
    <x:xf numFmtId="201" fontId="12" fillId="7" borderId="3" xfId="0" applyNumberFormat="1" applyFont="1" applyFill="1" applyBorder="1" applyAlignment="1">
      <x:alignment horizontal="center" vertical="center" wrapText="1"/>
    </x:xf>
    <x:xf numFmtId="201" fontId="12" fillId="7" borderId="4" xfId="0" applyNumberFormat="1" applyFont="1" applyFill="1" applyBorder="1" applyAlignment="1">
      <x:alignment horizontal="center" vertical="center" wrapText="1"/>
    </x:xf>
    <x:xf numFmtId="202" fontId="12" fillId="7" borderId="3" xfId="0" applyNumberFormat="1" applyFont="1" applyFill="1" applyBorder="1" applyAlignment="1">
      <x:alignment horizontal="center" vertical="center" wrapText="1"/>
    </x:xf>
    <x:xf numFmtId="202" fontId="12" fillId="7" borderId="4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13" fillId="9" borderId="5" xfId="0" applyNumberFormat="1" applyFont="1" applyFill="1" applyBorder="1" applyAlignment="1">
      <x:alignment vertical="center" wrapText="1"/>
    </x:xf>
    <x:xf numFmtId="0" fontId="13" fillId="9" borderId="6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wrapText="1"/>
    </x:xf>
    <x:xf numFmtId="0" fontId="3" fillId="8" borderId="7" xfId="0" applyNumberFormat="1" applyFont="1" applyFill="1" applyBorder="1"/>
    <x:xf numFmtId="0" fontId="3" fillId="8" borderId="6" xfId="0" applyNumberFormat="1" applyFont="1" applyFill="1" applyBorder="1"/>
    <x:xf numFmtId="0" fontId="3" fillId="8" borderId="8" xfId="0" applyNumberFormat="1" applyFont="1" applyFill="1" applyBorder="1"/>
    <x:xf numFmtId="0" fontId="3" fillId="8" borderId="7" xfId="0" applyNumberFormat="1" applyFont="1" applyFill="1" applyBorder="1" applyAlignment="1">
      <x:alignment wrapText="1"/>
    </x:xf>
    <x:xf numFmtId="0" fontId="3" fillId="8" borderId="6" xfId="0" applyNumberFormat="1" applyFont="1" applyFill="1" applyBorder="1" applyAlignment="1">
      <x:alignment wrapText="1"/>
    </x:xf>
    <x:xf numFmtId="0" fontId="3" fillId="8" borderId="8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horizontal="center" wrapText="1"/>
    </x:xf>
    <x:xf numFmtId="0" fontId="3" fillId="8" borderId="6" xfId="0" applyNumberFormat="1" applyFont="1" applyFill="1" applyBorder="1" applyAlignment="1">
      <x:alignment horizontal="center" wrapText="1"/>
    </x:xf>
    <x:xf numFmtId="0" fontId="3" fillId="8" borderId="8" xfId="0" applyNumberFormat="1" applyFont="1" applyFill="1" applyBorder="1" applyAlignment="1">
      <x:alignment horizontal="center" wrapText="1"/>
    </x:xf>
    <x:xf numFmtId="0" fontId="3" fillId="8" borderId="7" xfId="0" applyNumberFormat="1" applyFont="1" applyFill="1" applyBorder="1" applyAlignment="1">
      <x:alignment horizontal="center" vertical="center" wrapText="1"/>
    </x:xf>
    <x:xf numFmtId="0" fontId="3" fillId="8" borderId="6" xfId="0" applyNumberFormat="1" applyFont="1" applyFill="1" applyBorder="1" applyAlignment="1">
      <x:alignment horizontal="center" vertical="center" wrapText="1"/>
    </x:xf>
    <x:xf numFmtId="0" fontId="3" fillId="8" borderId="8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4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4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4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4" fontId="0" fillId="0" borderId="6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4" fontId="0" fillId="10" borderId="5" xfId="0" applyNumberFormat="1" applyFont="1" applyFill="1" applyBorder="1" applyAlignment="1">
      <x:alignment vertical="center" wrapText="1"/>
    </x:xf>
    <x:xf numFmtId="201" fontId="0" fillId="10" borderId="5" xfId="0" applyNumberFormat="1" applyFont="1" applyFill="1" applyBorder="1" applyAlignment="1">
      <x:alignment vertical="center" wrapText="1"/>
    </x:xf>
    <x:xf numFmtId="202" fontId="0" fillId="10" borderId="5" xfId="0" applyNumberFormat="1" applyFont="1" applyFill="1" applyBorder="1" applyAlignment="1">
      <x:alignment vertical="center" wrapText="1"/>
    </x:xf>
    <x:xf numFmtId="204" fontId="0" fillId="10" borderId="6" xfId="0" applyNumberFormat="1" applyFont="1" applyFill="1" applyBorder="1" applyAlignment="1">
      <x:alignment vertical="center" wrapText="1"/>
    </x:xf>
    <x:xf numFmtId="201" fontId="0" fillId="10" borderId="6" xfId="0" applyNumberFormat="1" applyFont="1" applyFill="1" applyBorder="1" applyAlignment="1">
      <x:alignment vertical="center" wrapText="1"/>
    </x:xf>
    <x:xf numFmtId="202" fontId="0" fillId="10" borderId="6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horizontal="left" vertical="center"/>
    </x:xf>
    <x:xf numFmtId="0" fontId="16" fillId="5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/>
    <x:xf numFmtId="0" fontId="15" fillId="8" borderId="7" xfId="0" applyNumberFormat="1" applyFont="1" applyFill="1" applyBorder="1" applyAlignment="1">
      <x:alignment horizontal="center" vertical="center" wrapText="1"/>
    </x:xf>
    <x:xf numFmtId="0" fontId="15" fillId="8" borderId="6" xfId="0" applyNumberFormat="1" applyFont="1" applyFill="1" applyBorder="1" applyAlignment="1">
      <x:alignment horizontal="center" vertical="center" wrapText="1"/>
    </x:xf>
    <x:xf numFmtId="0" fontId="15" fillId="8" borderId="8" xfId="0" applyNumberFormat="1" applyFont="1" applyFill="1" applyBorder="1" applyAlignment="1">
      <x:alignment horizontal="center" vertical="center" wrapText="1"/>
    </x:xf>
    <x:xf numFmtId="203" fontId="17" fillId="0" borderId="5" xfId="0" applyNumberFormat="1" applyFont="1" applyFill="1" applyBorder="1" applyAlignment="1">
      <x:alignment vertical="center" wrapText="1"/>
    </x:xf>
    <x:xf numFmtId="0" fontId="17" fillId="0" borderId="5" xfId="0" applyNumberFormat="1" applyFont="1" applyFill="1" applyBorder="1" applyAlignment="1">
      <x:alignment vertical="center" wrapText="1"/>
    </x:xf>
    <x:xf numFmtId="200" fontId="17" fillId="0" borderId="5" xfId="0" applyNumberFormat="1" applyFont="1" applyFill="1" applyBorder="1" applyAlignment="1">
      <x:alignment vertical="center" wrapText="1"/>
    </x:xf>
    <x:xf numFmtId="204" fontId="17" fillId="10" borderId="5" xfId="0" applyNumberFormat="1" applyFont="1" applyFill="1" applyBorder="1" applyAlignment="1">
      <x:alignment vertical="center" wrapText="1"/>
    </x:xf>
    <x:xf numFmtId="201" fontId="17" fillId="10" borderId="5" xfId="0" applyNumberFormat="1" applyFont="1" applyFill="1" applyBorder="1" applyAlignment="1">
      <x:alignment vertical="center" wrapText="1"/>
    </x:xf>
    <x:xf numFmtId="202" fontId="17" fillId="10" borderId="5" xfId="0" applyNumberFormat="1" applyFont="1" applyFill="1" applyBorder="1" applyAlignment="1">
      <x:alignment vertical="center" wrapText="1"/>
    </x:xf>
    <x:xf numFmtId="203" fontId="17" fillId="0" borderId="6" xfId="0" applyNumberFormat="1" applyFont="1" applyFill="1" applyBorder="1" applyAlignment="1">
      <x:alignment vertical="center" wrapText="1"/>
    </x:xf>
    <x:xf numFmtId="0" fontId="17" fillId="0" borderId="6" xfId="0" applyNumberFormat="1" applyFont="1" applyFill="1" applyBorder="1" applyAlignment="1">
      <x:alignment vertical="center" wrapText="1"/>
    </x:xf>
    <x:xf numFmtId="200" fontId="17" fillId="0" borderId="6" xfId="0" applyNumberFormat="1" applyFont="1" applyFill="1" applyBorder="1" applyAlignment="1">
      <x:alignment vertical="center" wrapText="1"/>
    </x:xf>
    <x:xf numFmtId="204" fontId="17" fillId="10" borderId="6" xfId="0" applyNumberFormat="1" applyFont="1" applyFill="1" applyBorder="1" applyAlignment="1">
      <x:alignment vertical="center" wrapText="1"/>
    </x:xf>
    <x:xf numFmtId="201" fontId="17" fillId="10" borderId="6" xfId="0" applyNumberFormat="1" applyFont="1" applyFill="1" applyBorder="1" applyAlignment="1">
      <x:alignment vertical="center" wrapText="1"/>
    </x:xf>
    <x:xf numFmtId="202" fontId="17" fillId="10" borderId="6" xfId="0" applyNumberFormat="1" applyFont="1" applyFill="1" applyBorder="1" applyAlignment="1">
      <x:alignment vertical="center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6" fillId="3" borderId="0" xfId="0" applyNumberFormat="1" applyFont="1" applyFill="1" applyBorder="1" applyAlignment="1">
      <x:alignment wrapText="1"/>
    </x:xf>
    <x:xf numFmtId="202" fontId="17" fillId="0" borderId="5" xfId="0" applyNumberFormat="1" applyFont="1" applyFill="1" applyBorder="1" applyAlignment="1">
      <x:alignment vertical="center" wrapText="1"/>
    </x:xf>
    <x:xf numFmtId="202" fontId="17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vertical="center" wrapText="1"/>
    </x:xf>
    <x:xf numFmtId="0" fontId="0" fillId="10" borderId="6" xfId="0" applyNumberFormat="1" applyFont="1" applyFill="1" applyBorder="1" applyAlignment="1">
      <x:alignment vertical="center" wrapText="1"/>
    </x:xf>
    <x:xf numFmtId="0" fontId="17" fillId="5" borderId="0" xfId="0" applyNumberFormat="1" applyFont="1" applyFill="1" applyBorder="1" applyAlignment="1">
      <x:alignment wrapText="1"/>
    </x:xf>
    <x:xf numFmtId="201" fontId="17" fillId="0" borderId="5" xfId="0" applyNumberFormat="1" applyFont="1" applyFill="1" applyBorder="1" applyAlignment="1">
      <x:alignment vertical="center" wrapText="1"/>
    </x:xf>
    <x:xf numFmtId="204" fontId="17" fillId="0" borderId="5" xfId="0" applyNumberFormat="1" applyFont="1" applyFill="1" applyBorder="1" applyAlignment="1">
      <x:alignment vertical="center" wrapText="1"/>
    </x:xf>
    <x:xf numFmtId="0" fontId="17" fillId="10" borderId="5" xfId="0" applyNumberFormat="1" applyFont="1" applyFill="1" applyBorder="1" applyAlignment="1">
      <x:alignment vertical="center" wrapText="1"/>
    </x:xf>
    <x:xf numFmtId="201" fontId="17" fillId="0" borderId="6" xfId="0" applyNumberFormat="1" applyFont="1" applyFill="1" applyBorder="1" applyAlignment="1">
      <x:alignment vertical="center" wrapText="1"/>
    </x:xf>
    <x:xf numFmtId="204" fontId="17" fillId="0" borderId="6" xfId="0" applyNumberFormat="1" applyFont="1" applyFill="1" applyBorder="1" applyAlignment="1">
      <x:alignment vertical="center" wrapText="1"/>
    </x:xf>
    <x:xf numFmtId="0" fontId="17" fillId="10" borderId="6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18" fillId="9" borderId="0" xfId="0" applyNumberFormat="1" applyFont="1" applyFill="1" applyBorder="1"/>
    <x:xf numFmtId="0" fontId="3" fillId="6" borderId="5" xfId="0" applyNumberFormat="1" applyFont="1" applyFill="1" applyBorder="1"/>
    <x:xf numFmtId="0" fontId="18" fillId="9" borderId="6" xfId="0" applyNumberFormat="1" applyFont="1" applyFill="1" applyBorder="1"/>
    <x:xf numFmtId="0" fontId="0" fillId="0" borderId="6" xfId="0" applyNumberFormat="1" applyFont="1" applyFill="1" applyBorder="1"/>
    <x:xf numFmtId="0" fontId="3" fillId="6" borderId="5" xfId="0" applyNumberFormat="1" applyFont="1" applyFill="1" applyBorder="1" applyAlignment="1">
      <x:alignment vertical="center"/>
    </x:xf>
    <x:xf numFmtId="0" fontId="18" fillId="9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19" fillId="9" borderId="5" xfId="0" applyNumberFormat="1" applyFont="1" applyFill="1" applyBorder="1" applyAlignment="1">
      <x:alignment vertical="center" wrapText="1"/>
    </x:xf>
    <x:xf numFmtId="0" fontId="19" fillId="9" borderId="6" xfId="0" applyNumberFormat="1" applyFont="1" applyFill="1" applyBorder="1" applyAlignment="1">
      <x:alignment vertical="center" wrapText="1"/>
    </x:xf>
    <x:xf numFmtId="0" fontId="19" fillId="5" borderId="0" xfId="0" applyNumberFormat="1" applyFont="1" applyFill="1" applyBorder="1" applyAlignment="1">
      <x:alignment wrapText="1"/>
    </x:xf>
    <x:xf numFmtId="0" fontId="15" fillId="6" borderId="5" xfId="0" applyNumberFormat="1" applyFont="1" applyFill="1" applyBorder="1" applyAlignment="1">
      <x:alignment vertical="center"/>
    </x:xf>
    <x:xf numFmtId="0" fontId="20" fillId="9" borderId="6" xfId="0" applyNumberFormat="1" applyFont="1" applyFill="1" applyBorder="1" applyAlignment="1">
      <x:alignment vertical="center"/>
    </x:xf>
    <x:xf numFmtId="0" fontId="17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7A5900"/>
      </x:font>
      <x:fill>
        <x:patternFill patternType="solid">
          <x:bgColor rgb="FFFFF3CD"/>
        </x:patternFill>
      </x:fill>
    </x:dxf>
    <x:dxf>
      <x:font>
        <x:b/>
        <x:color rgb="FF176B36"/>
      </x:font>
      <x:fill>
        <x:patternFill patternType="solid">
          <x:bgColor rgb="FFDFF3E4"/>
        </x:patternFill>
      </x:fill>
    </x:dxf>
    <x:dxf>
      <x:font>
        <x:b/>
        <x:color rgb="FF9B1C1C"/>
      </x:font>
      <x:fill>
        <x:patternFill patternType="solid">
          <x:bgColor rgb="FFFB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c4a362891410e" /><Relationship Type="http://schemas.openxmlformats.org/officeDocument/2006/relationships/theme" Target="/xl/theme/theme1.xml" Id="R45e816d57d0748a0" /><Relationship Type="http://schemas.openxmlformats.org/officeDocument/2006/relationships/sharedStrings" Target="/xl/sharedStrings.xml" Id="R887fa4135bed4c65" /><Relationship Type="http://schemas.openxmlformats.org/officeDocument/2006/relationships/worksheet" Target="/xl/worksheets/sheet1.xml" Id="Re2d3771ebfbe4564" /><Relationship Type="http://schemas.openxmlformats.org/officeDocument/2006/relationships/worksheet" Target="/xl/worksheets/sheet2.xml" Id="R6029c5e3fb254947" /><Relationship Type="http://schemas.openxmlformats.org/officeDocument/2006/relationships/worksheet" Target="/xl/worksheets/sheet3.xml" Id="Rc58eb749f02747cc" /><Relationship Type="http://schemas.openxmlformats.org/officeDocument/2006/relationships/worksheet" Target="/xl/worksheets/sheet4.xml" Id="Rd325df78eb134f49" /><Relationship Type="http://schemas.openxmlformats.org/officeDocument/2006/relationships/worksheet" Target="/xl/worksheets/sheet5.xml" Id="Re71423f5aadd4f99" /></Relationships>
</file>

<file path=xl/tables/table1.xml><?xml version="1.0" encoding="utf-8"?>
<x:table xmlns:x="http://schemas.openxmlformats.org/spreadsheetml/2006/main" id="1" name="ContentLedgerTable" displayName="ContentLedgerTable" ref="A4:T34" headerRowCount="1" totalsRowCount="0" totalsRowShown="0">
  <x:tableColumns count="20">
    <x:tableColumn id="1" name="发布日期"/>
    <x:tableColumn id="2" name="选题"/>
    <x:tableColumn id="3" name="热点类型"/>
    <x:tableColumn id="4" name="来源平台"/>
    <x:tableColumn id="5" name="标题"/>
    <x:tableColumn id="6" name="封面文案"/>
    <x:tableColumn id="7" name="视频时长(秒)"/>
    <x:tableColumn id="8" name="开头钩子"/>
    <x:tableColumn id="9" name="内容结构"/>
    <x:tableColumn id="10" name="播放量"/>
    <x:tableColumn id="11" name="3秒留存"/>
    <x:tableColumn id="12" name="平均观看时长(秒)"/>
    <x:tableColumn id="13" name="完播率"/>
    <x:tableColumn id="14" name="点赞"/>
    <x:tableColumn id="15" name="评论"/>
    <x:tableColumn id="16" name="收藏"/>
    <x:tableColumn id="17" name="转发"/>
    <x:tableColumn id="18" name="涨粉"/>
    <x:tableColumn id="19" name="状态"/>
    <x:tableColumn id="2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ScoreTable" displayName="CandidateScoreTable" ref="A4:Q9" headerRowCount="1" totalsRowCount="0" totalsRowShown="0">
  <x:tableColumns count="17">
    <x:tableColumn id="1" name="日期"/>
    <x:tableColumn id="2" name="候选"/>
    <x:tableColumn id="3" name="类型"/>
    <x:tableColumn id="4" name="时效"/>
    <x:tableColumn id="5" name="相关"/>
    <x:tableColumn id="6" name="新奇"/>
    <x:tableColumn id="7" name="可讲"/>
    <x:tableColumn id="8" name="观点"/>
    <x:tableColumn id="9" name="互动"/>
    <x:tableColumn id="10" name="可信"/>
    <x:tableColumn id="11" name="风险"/>
    <x:tableColumn id="12" name="正向加权分"/>
    <x:tableColumn id="13" name="风险扣分"/>
    <x:tableColumn id="14" name="推荐指数"/>
    <x:tableColumn id="15" name="结论"/>
    <x:tableColumn id="16" name="推荐/不推荐原因"/>
    <x:tableColumn id="17" name="主要来源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WeeklyReviewTable" displayName="WeeklyReviewTable" ref="A4:N9" headerRowCount="1" totalsRowCount="0" totalsRowShown="0">
  <x:tableColumns count="14">
    <x:tableColumn id="1" name="周次"/>
    <x:tableColumn id="2" name="开始日期"/>
    <x:tableColumn id="3" name="结束日期"/>
    <x:tableColumn id="4" name="发布数"/>
    <x:tableColumn id="5" name="平均3秒留存"/>
    <x:tableColumn id="6" name="平均完播率"/>
    <x:tableColumn id="7" name="总播放"/>
    <x:tableColumn id="8" name="互动率"/>
    <x:tableColumn id="9" name="最佳类型"/>
    <x:tableColumn id="10" name="最佳钩子"/>
    <x:tableColumn id="11" name="增加"/>
    <x:tableColumn id="12" name="减少"/>
    <x:tableColumn id="13" name="停止"/>
    <x:tableColumn id="14" name="表达/风险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37b6eba90840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88ebbea6974b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07b57ea6da48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144" t="str">
        <x:v>中文口播账号｜30天内容实验仪表盘</x:v>
      </x:c>
      <x:c r="B1" s="144" t="str">
        <x:v>中文口播账号｜30天内容实验仪表盘</x:v>
      </x:c>
      <x:c r="C1" s="144" t="str">
        <x:v>中文口播账号｜30天内容实验仪表盘</x:v>
      </x:c>
      <x:c r="D1" s="144" t="str">
        <x:v>中文口播账号｜30天内容实验仪表盘</x:v>
      </x:c>
      <x:c r="E1" s="144" t="str">
        <x:v>中文口播账号｜30天内容实验仪表盘</x:v>
      </x:c>
      <x:c r="F1" s="144" t="str">
        <x:v>中文口播账号｜30天内容实验仪表盘</x:v>
      </x:c>
      <x:c r="G1" s="144" t="str">
        <x:v>中文口播账号｜30天内容实验仪表盘</x:v>
      </x:c>
      <x:c r="H1" s="144" t="str">
        <x:v>中文口播账号｜30天内容实验仪表盘</x:v>
      </x:c>
    </x:row>
    <x:row r="2" ht="36" customHeight="1">
      <x:c r="A2" s="141" t="str">
        <x:v>数据口径：发布后建议在2小时、24小时、72小时更新；同类型至少3条再下结论。当前为第1天，主选题待人工审核。</x:v>
      </x:c>
      <x:c r="B2" s="141"/>
      <x:c r="C2" s="141"/>
      <x:c r="D2" s="141"/>
      <x:c r="E2" s="141"/>
      <x:c r="F2" s="141"/>
      <x:c r="G2" s="141"/>
      <x:c r="H2" s="141"/>
    </x:row>
    <x:row r="3">
      <x:c r="A3" s="145" t="str">
        <x:v>已发布</x:v>
      </x:c>
      <x:c r="B3" s="145" t="str">
        <x:v>已发布</x:v>
      </x:c>
      <x:c r="C3" s="145" t="str">
        <x:v>待审核</x:v>
      </x:c>
      <x:c r="D3" s="145" t="str">
        <x:v>待审核</x:v>
      </x:c>
      <x:c r="E3" s="145" t="str">
        <x:v>累计播放</x:v>
      </x:c>
      <x:c r="F3" s="145" t="str">
        <x:v>累计播放</x:v>
      </x:c>
      <x:c r="G3" s="145" t="str">
        <x:v>累计涨粉</x:v>
      </x:c>
      <x:c r="H3" s="145" t="str">
        <x:v>累计涨粉</x:v>
      </x:c>
    </x:row>
    <x:row r="4">
      <x:c r="A4" s="146" t="n">
        <x:f>COUNTIF('内容台账'!$S$5:$S$34,"已发布")</x:f>
        <x:v>0</x:v>
      </x:c>
      <x:c r="B4" s="147"/>
      <x:c r="C4" s="148" t="n">
        <x:f>COUNTIF('内容台账'!$S$5:$S$34,"待审核")</x:f>
        <x:v>1</x:v>
      </x:c>
      <x:c r="D4" s="149"/>
      <x:c r="E4" s="150" t="n">
        <x:f>SUM('内容台账'!$J$5:$J$34)</x:f>
        <x:v>0</x:v>
      </x:c>
      <x:c r="F4" s="151"/>
      <x:c r="G4" s="150" t="n">
        <x:f>SUM('内容台账'!$R$5:$R$34)</x:f>
        <x:v>0</x:v>
      </x:c>
      <x:c r="H4" s="151"/>
    </x:row>
    <x:row r="5">
      <x:c r="A5" s="152"/>
      <x:c r="B5" s="153"/>
      <x:c r="C5" s="154"/>
      <x:c r="D5" s="155"/>
      <x:c r="E5" s="156"/>
      <x:c r="F5" s="157"/>
      <x:c r="G5" s="156"/>
      <x:c r="H5" s="157"/>
    </x:row>
    <x:row r="6">
      <x:c r="A6" s="158"/>
      <x:c r="B6" s="158"/>
      <x:c r="C6" s="158"/>
      <x:c r="D6" s="158"/>
      <x:c r="E6" s="158"/>
      <x:c r="F6" s="158"/>
      <x:c r="G6" s="158"/>
      <x:c r="H6" s="158"/>
    </x:row>
    <x:row r="7">
      <x:c r="A7" s="159" t="str">
        <x:v>平均3秒留存</x:v>
      </x:c>
      <x:c r="B7" s="159" t="str">
        <x:v>平均3秒留存</x:v>
      </x:c>
      <x:c r="C7" s="159" t="str">
        <x:v>平均完播率</x:v>
      </x:c>
      <x:c r="D7" s="159" t="str">
        <x:v>平均完播率</x:v>
      </x:c>
      <x:c r="E7" s="159" t="str">
        <x:v>平均观看秒</x:v>
      </x:c>
      <x:c r="F7" s="159" t="str">
        <x:v>平均观看秒</x:v>
      </x:c>
      <x:c r="G7" s="159" t="str">
        <x:v>综合互动率</x:v>
      </x:c>
      <x:c r="H7" s="159" t="str">
        <x:v>综合互动率</x:v>
      </x:c>
    </x:row>
    <x:row r="8">
      <x:c r="A8" s="160" t="n">
        <x:f>IFERROR(AVERAGEIF('内容台账'!$S$5:$S$34,"已发布",'内容台账'!$K$5:$K$34),0)</x:f>
        <x:v>0</x:v>
      </x:c>
      <x:c r="B8" s="161"/>
      <x:c r="C8" s="160" t="n">
        <x:f>IFERROR(AVERAGEIF('内容台账'!$S$5:$S$34,"已发布",'内容台账'!$M$5:$M$34),0)</x:f>
        <x:v>0</x:v>
      </x:c>
      <x:c r="D8" s="161"/>
      <x:c r="E8" s="162" t="n">
        <x:f>IFERROR(AVERAGEIF('内容台账'!$S$5:$S$34,"已发布",'内容台账'!$L$5:$L$34),0)</x:f>
        <x:v>0</x:v>
      </x:c>
      <x:c r="F8" s="163"/>
      <x:c r="G8" s="160" t="n">
        <x:f>IFERROR((SUM('内容台账'!$N$5:$N$34)+SUM('内容台账'!$O$5:$O$34)+SUM('内容台账'!$P$5:$P$34)+SUM('内容台账'!$Q$5:$Q$34))/SUM('内容台账'!$J$5:$J$34),0)</x:f>
        <x:v>0</x:v>
      </x:c>
      <x:c r="H8" s="161"/>
    </x:row>
    <x:row r="9">
      <x:c r="A9" s="164"/>
      <x:c r="B9" s="165"/>
      <x:c r="C9" s="164"/>
      <x:c r="D9" s="165"/>
      <x:c r="E9" s="166"/>
      <x:c r="F9" s="167"/>
      <x:c r="G9" s="164"/>
      <x:c r="H9" s="165"/>
    </x:row>
    <x:row r="10">
      <x:c r="A10" s="158"/>
      <x:c r="B10" s="158"/>
      <x:c r="C10" s="158"/>
      <x:c r="D10" s="158"/>
      <x:c r="E10" s="158"/>
      <x:c r="F10" s="158"/>
      <x:c r="G10" s="158"/>
      <x:c r="H10" s="158"/>
    </x:row>
    <x:row r="11">
      <x:c r="A11" s="168" t="str">
        <x:v>当前实验状态</x:v>
      </x:c>
      <x:c r="B11" s="168"/>
      <x:c r="C11" s="168"/>
      <x:c r="D11" s="168"/>
      <x:c r="E11" s="168"/>
      <x:c r="F11" s="168"/>
      <x:c r="G11" s="168"/>
      <x:c r="H11" s="168"/>
    </x:row>
    <x:row r="12">
      <x:c r="A12" s="169" t="str">
        <x:v>阶段</x:v>
      </x:c>
      <x:c r="B12" s="138" t="str">
        <x:v>第1天 / 30天</x:v>
      </x:c>
      <x:c r="C12" s="138"/>
      <x:c r="D12" s="138"/>
      <x:c r="E12" s="138"/>
      <x:c r="F12" s="138"/>
      <x:c r="G12" s="138"/>
      <x:c r="H12" s="138"/>
    </x:row>
    <x:row r="13">
      <x:c r="A13" s="170" t="str">
        <x:v>主选题</x:v>
      </x:c>
      <x:c r="B13" s="140" t="str">
        <x:v>新能源车“平均车龄1.8年”误读</x:v>
      </x:c>
      <x:c r="C13" s="140"/>
      <x:c r="D13" s="140"/>
      <x:c r="E13" s="140"/>
      <x:c r="F13" s="140"/>
      <x:c r="G13" s="140"/>
      <x:c r="H13" s="140"/>
    </x:row>
    <x:row r="14">
      <x:c r="A14" s="170" t="str">
        <x:v>审核状态</x:v>
      </x:c>
      <x:c r="B14" s="140" t="str">
        <x:v>等待用户审核口播稿</x:v>
      </x:c>
      <x:c r="C14" s="140"/>
      <x:c r="D14" s="140"/>
      <x:c r="E14" s="140"/>
      <x:c r="F14" s="140"/>
      <x:c r="G14" s="140"/>
      <x:c r="H14" s="140"/>
    </x:row>
    <x:row r="15">
      <x:c r="A15" s="170" t="str">
        <x:v>自动化状态</x:v>
      </x:c>
      <x:c r="B15" s="140" t="str">
        <x:v>暂不定时；完成3天试运行后再配置</x:v>
      </x:c>
      <x:c r="C15" s="140"/>
      <x:c r="D15" s="140"/>
      <x:c r="E15" s="140"/>
      <x:c r="F15" s="140"/>
      <x:c r="G15" s="140"/>
      <x:c r="H15" s="140"/>
    </x:row>
    <x:row r="16">
      <x:c r="A16" s="170" t="str">
        <x:v>下一步</x:v>
      </x:c>
      <x:c r="B16" s="140" t="str">
        <x:v>试读、确认标题封面、决定是否拍摄</x:v>
      </x:c>
      <x:c r="C16" s="140"/>
      <x:c r="D16" s="140"/>
      <x:c r="E16" s="140"/>
      <x:c r="F16" s="140"/>
      <x:c r="G16" s="140"/>
      <x:c r="H16" s="140"/>
    </x:row>
  </x:sheetData>
  <x:mergeCells>
    <x:mergeCell ref="A1:H1"/>
    <x:mergeCell ref="A2:H2"/>
    <x:mergeCell ref="A3:B3"/>
    <x:mergeCell ref="A4:B5"/>
    <x:mergeCell ref="C3:D3"/>
    <x:mergeCell ref="C4:D5"/>
    <x:mergeCell ref="E3:F3"/>
    <x:mergeCell ref="E4:F5"/>
    <x:mergeCell ref="G3:H3"/>
    <x:mergeCell ref="G4:H5"/>
    <x:mergeCell ref="A7:B7"/>
    <x:mergeCell ref="A8:B9"/>
    <x:mergeCell ref="C7:D7"/>
    <x:mergeCell ref="C8:D9"/>
    <x:mergeCell ref="E7:F7"/>
    <x:mergeCell ref="E8:F9"/>
    <x:mergeCell ref="G7:H7"/>
    <x:mergeCell ref="G8:H9"/>
    <x:mergeCell ref="A11:H11"/>
    <x:mergeCell ref="B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12" hidden="0" customWidth="1"/>
    <x:col min="8" max="8" width="34" hidden="0" customWidth="1"/>
    <x:col min="9" max="9" width="40" hidden="0" customWidth="1"/>
    <x:col min="10" max="10" width="12" hidden="0" customWidth="1"/>
    <x:col min="11" max="11" width="12" hidden="0" customWidth="1"/>
    <x:col min="12" max="12" width="16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2" hidden="0" customWidth="1"/>
    <x:col min="20" max="20" width="34" hidden="0" customWidth="1"/>
  </x:cols>
  <x:sheetData>
    <x:row r="1" ht="34" customHeight="1">
      <x:c r="A1" s="221" t="str">
        <x:v>30天内容台账</x:v>
      </x:c>
      <x:c r="B1" s="221" t="str">
        <x:v>30天内容台账</x:v>
      </x:c>
      <x:c r="C1" s="221" t="str">
        <x:v>30天内容台账</x:v>
      </x:c>
      <x:c r="D1" s="221" t="str">
        <x:v>30天内容台账</x:v>
      </x:c>
      <x:c r="E1" s="221" t="str">
        <x:v>30天内容台账</x:v>
      </x:c>
      <x:c r="F1" s="221" t="str">
        <x:v>30天内容台账</x:v>
      </x:c>
      <x:c r="G1" s="221" t="str">
        <x:v>30天内容台账</x:v>
      </x:c>
      <x:c r="H1" s="221" t="str">
        <x:v>30天内容台账</x:v>
      </x:c>
      <x:c r="I1" s="221" t="str">
        <x:v>30天内容台账</x:v>
      </x:c>
      <x:c r="J1" s="221" t="str">
        <x:v>30天内容台账</x:v>
      </x:c>
      <x:c r="K1" s="221" t="str">
        <x:v>30天内容台账</x:v>
      </x:c>
      <x:c r="L1" s="221" t="str">
        <x:v>30天内容台账</x:v>
      </x:c>
      <x:c r="M1" s="221" t="str">
        <x:v>30天内容台账</x:v>
      </x:c>
      <x:c r="N1" s="221" t="str">
        <x:v>30天内容台账</x:v>
      </x:c>
      <x:c r="O1" s="221" t="str">
        <x:v>30天内容台账</x:v>
      </x:c>
      <x:c r="P1" s="221" t="str">
        <x:v>30天内容台账</x:v>
      </x:c>
      <x:c r="Q1" s="221" t="str">
        <x:v>30天内容台账</x:v>
      </x:c>
      <x:c r="R1" s="221" t="str">
        <x:v>30天内容台账</x:v>
      </x:c>
      <x:c r="S1" s="221" t="str">
        <x:v>30天内容台账</x:v>
      </x:c>
      <x:c r="T1" s="221" t="str">
        <x:v>30天内容台账</x:v>
      </x:c>
    </x:row>
    <x:row r="2" ht="32" customHeight="1">
      <x:c r="A2" s="222" t="str">
        <x:v>黄色列为人工输入或发布后回填；留存率、完播率请使用百分比。状态：待选题 / 待审核 / 已拍摄 / 已发布 / 已复盘 / 放弃。</x:v>
      </x:c>
      <x:c r="B2" s="222"/>
      <x:c r="C2" s="222"/>
      <x:c r="D2" s="222"/>
      <x:c r="E2" s="222"/>
      <x:c r="F2" s="222"/>
      <x:c r="G2" s="222"/>
      <x:c r="H2" s="222"/>
      <x:c r="I2" s="222"/>
      <x:c r="J2" s="222"/>
      <x:c r="K2" s="222"/>
      <x:c r="L2" s="222"/>
      <x:c r="M2" s="222"/>
      <x:c r="N2" s="222"/>
      <x:c r="O2" s="222"/>
      <x:c r="P2" s="222"/>
      <x:c r="Q2" s="222"/>
      <x:c r="R2" s="222"/>
      <x:c r="S2" s="222"/>
      <x:c r="T2" s="222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  <x:c r="O3" s="223"/>
      <x:c r="P3" s="223"/>
      <x:c r="Q3" s="223"/>
      <x:c r="R3" s="223"/>
      <x:c r="S3" s="223"/>
      <x:c r="T3" s="223"/>
    </x:row>
    <x:row r="4" ht="34" customHeight="1">
      <x:c r="A4" s="224" t="str">
        <x:v>发布日期</x:v>
      </x:c>
      <x:c r="B4" s="225" t="str">
        <x:v>选题</x:v>
      </x:c>
      <x:c r="C4" s="225" t="str">
        <x:v>热点类型</x:v>
      </x:c>
      <x:c r="D4" s="225" t="str">
        <x:v>来源平台</x:v>
      </x:c>
      <x:c r="E4" s="225" t="str">
        <x:v>标题</x:v>
      </x:c>
      <x:c r="F4" s="225" t="str">
        <x:v>封面文案</x:v>
      </x:c>
      <x:c r="G4" s="225" t="str">
        <x:v>视频时长(秒)</x:v>
      </x:c>
      <x:c r="H4" s="225" t="str">
        <x:v>开头钩子</x:v>
      </x:c>
      <x:c r="I4" s="225" t="str">
        <x:v>内容结构</x:v>
      </x:c>
      <x:c r="J4" s="225" t="str">
        <x:v>播放量</x:v>
      </x:c>
      <x:c r="K4" s="225" t="str">
        <x:v>3秒留存</x:v>
      </x:c>
      <x:c r="L4" s="225" t="str">
        <x:v>平均观看时长(秒)</x:v>
      </x:c>
      <x:c r="M4" s="225" t="str">
        <x:v>完播率</x:v>
      </x:c>
      <x:c r="N4" s="225" t="str">
        <x:v>点赞</x:v>
      </x:c>
      <x:c r="O4" s="225" t="str">
        <x:v>评论</x:v>
      </x:c>
      <x:c r="P4" s="225" t="str">
        <x:v>收藏</x:v>
      </x:c>
      <x:c r="Q4" s="225" t="str">
        <x:v>转发</x:v>
      </x:c>
      <x:c r="R4" s="225" t="str">
        <x:v>涨粉</x:v>
      </x:c>
      <x:c r="S4" s="225" t="str">
        <x:v>状态</x:v>
      </x:c>
      <x:c r="T4" s="226" t="str">
        <x:v>备注</x:v>
      </x:c>
    </x:row>
    <x:row r="5" ht="62" customHeight="1">
      <x:c r="A5" s="227" t="n">
        <x:v>46218</x:v>
      </x:c>
      <x:c r="B5" s="228" t="str">
        <x:v>新能源车“平均车龄1.8年”误读</x:v>
      </x:c>
      <x:c r="C5" s="228" t="str">
        <x:v>消费/科技/数据素养</x:v>
      </x:c>
      <x:c r="D5" s="228" t="str">
        <x:v>抖音/小红书/媒体</x:v>
      </x:c>
      <x:c r="E5" s="228" t="str">
        <x:v>平均车龄不是汽车寿命，这次很多人看反了</x:v>
      </x:c>
      <x:c r="F5" s="228" t="str">
        <x:v>1.8年≠车寿命</x:v>
      </x:c>
      <x:c r="G5" s="229" t="n">
        <x:v>75</x:v>
      </x:c>
      <x:c r="H5" s="228" t="str">
        <x:v>一辆新能源车，平均只开1.8年？不是。</x:v>
      </x:c>
      <x:c r="I5" s="228" t="str">
        <x:v>冲突钩子→背景→概念澄清→生活比喻→克制判断→互动问题</x:v>
      </x:c>
      <x:c r="J5" s="230"/>
      <x:c r="K5" s="231"/>
      <x:c r="L5" s="232"/>
      <x:c r="M5" s="231"/>
      <x:c r="N5" s="230"/>
      <x:c r="O5" s="230"/>
      <x:c r="P5" s="230"/>
      <x:c r="Q5" s="230"/>
      <x:c r="R5" s="230"/>
      <x:c r="S5" s="228" t="str">
        <x:v>待审核</x:v>
      </x:c>
      <x:c r="T5" s="228" t="str">
        <x:v>主选题与口播稿待用户审核；不得自动发布。</x:v>
      </x:c>
    </x:row>
    <x:row r="6" ht="38" customHeight="1">
      <x:c r="A6" s="233"/>
      <x:c r="B6" s="234"/>
      <x:c r="C6" s="234"/>
      <x:c r="D6" s="234"/>
      <x:c r="E6" s="234"/>
      <x:c r="F6" s="234"/>
      <x:c r="G6" s="235"/>
      <x:c r="H6" s="234"/>
      <x:c r="I6" s="234"/>
      <x:c r="J6" s="236"/>
      <x:c r="K6" s="237"/>
      <x:c r="L6" s="238"/>
      <x:c r="M6" s="237"/>
      <x:c r="N6" s="236"/>
      <x:c r="O6" s="236"/>
      <x:c r="P6" s="236"/>
      <x:c r="Q6" s="236"/>
      <x:c r="R6" s="236"/>
      <x:c r="S6" s="234"/>
      <x:c r="T6" s="234"/>
    </x:row>
    <x:row r="7" ht="38" customHeight="1">
      <x:c r="A7" s="233"/>
      <x:c r="B7" s="234"/>
      <x:c r="C7" s="234"/>
      <x:c r="D7" s="234"/>
      <x:c r="E7" s="234"/>
      <x:c r="F7" s="234"/>
      <x:c r="G7" s="235"/>
      <x:c r="H7" s="234"/>
      <x:c r="I7" s="234"/>
      <x:c r="J7" s="236"/>
      <x:c r="K7" s="237"/>
      <x:c r="L7" s="238"/>
      <x:c r="M7" s="237"/>
      <x:c r="N7" s="236"/>
      <x:c r="O7" s="236"/>
      <x:c r="P7" s="236"/>
      <x:c r="Q7" s="236"/>
      <x:c r="R7" s="236"/>
      <x:c r="S7" s="234"/>
      <x:c r="T7" s="234"/>
    </x:row>
    <x:row r="8" ht="38" customHeight="1">
      <x:c r="A8" s="233"/>
      <x:c r="B8" s="234"/>
      <x:c r="C8" s="234"/>
      <x:c r="D8" s="234"/>
      <x:c r="E8" s="234"/>
      <x:c r="F8" s="234"/>
      <x:c r="G8" s="235"/>
      <x:c r="H8" s="234"/>
      <x:c r="I8" s="234"/>
      <x:c r="J8" s="236"/>
      <x:c r="K8" s="237"/>
      <x:c r="L8" s="238"/>
      <x:c r="M8" s="237"/>
      <x:c r="N8" s="236"/>
      <x:c r="O8" s="236"/>
      <x:c r="P8" s="236"/>
      <x:c r="Q8" s="236"/>
      <x:c r="R8" s="236"/>
      <x:c r="S8" s="234"/>
      <x:c r="T8" s="234"/>
    </x:row>
    <x:row r="9" ht="38" customHeight="1">
      <x:c r="A9" s="233"/>
      <x:c r="B9" s="234"/>
      <x:c r="C9" s="234"/>
      <x:c r="D9" s="234"/>
      <x:c r="E9" s="234"/>
      <x:c r="F9" s="234"/>
      <x:c r="G9" s="235"/>
      <x:c r="H9" s="234"/>
      <x:c r="I9" s="234"/>
      <x:c r="J9" s="236"/>
      <x:c r="K9" s="237"/>
      <x:c r="L9" s="238"/>
      <x:c r="M9" s="237"/>
      <x:c r="N9" s="236"/>
      <x:c r="O9" s="236"/>
      <x:c r="P9" s="236"/>
      <x:c r="Q9" s="236"/>
      <x:c r="R9" s="236"/>
      <x:c r="S9" s="234"/>
      <x:c r="T9" s="234"/>
    </x:row>
    <x:row r="10" ht="38" customHeight="1">
      <x:c r="A10" s="233"/>
      <x:c r="B10" s="234"/>
      <x:c r="C10" s="234"/>
      <x:c r="D10" s="234"/>
      <x:c r="E10" s="234"/>
      <x:c r="F10" s="234"/>
      <x:c r="G10" s="235"/>
      <x:c r="H10" s="234"/>
      <x:c r="I10" s="234"/>
      <x:c r="J10" s="236"/>
      <x:c r="K10" s="237"/>
      <x:c r="L10" s="238"/>
      <x:c r="M10" s="237"/>
      <x:c r="N10" s="236"/>
      <x:c r="O10" s="236"/>
      <x:c r="P10" s="236"/>
      <x:c r="Q10" s="236"/>
      <x:c r="R10" s="236"/>
      <x:c r="S10" s="234"/>
      <x:c r="T10" s="234"/>
    </x:row>
    <x:row r="11" ht="38" customHeight="1">
      <x:c r="A11" s="233"/>
      <x:c r="B11" s="234"/>
      <x:c r="C11" s="234"/>
      <x:c r="D11" s="234"/>
      <x:c r="E11" s="234"/>
      <x:c r="F11" s="234"/>
      <x:c r="G11" s="235"/>
      <x:c r="H11" s="234"/>
      <x:c r="I11" s="234"/>
      <x:c r="J11" s="236"/>
      <x:c r="K11" s="237"/>
      <x:c r="L11" s="238"/>
      <x:c r="M11" s="237"/>
      <x:c r="N11" s="236"/>
      <x:c r="O11" s="236"/>
      <x:c r="P11" s="236"/>
      <x:c r="Q11" s="236"/>
      <x:c r="R11" s="236"/>
      <x:c r="S11" s="234"/>
      <x:c r="T11" s="234"/>
    </x:row>
    <x:row r="12" ht="38" customHeight="1">
      <x:c r="A12" s="233"/>
      <x:c r="B12" s="234"/>
      <x:c r="C12" s="234"/>
      <x:c r="D12" s="234"/>
      <x:c r="E12" s="234"/>
      <x:c r="F12" s="234"/>
      <x:c r="G12" s="235"/>
      <x:c r="H12" s="234"/>
      <x:c r="I12" s="234"/>
      <x:c r="J12" s="236"/>
      <x:c r="K12" s="237"/>
      <x:c r="L12" s="238"/>
      <x:c r="M12" s="237"/>
      <x:c r="N12" s="236"/>
      <x:c r="O12" s="236"/>
      <x:c r="P12" s="236"/>
      <x:c r="Q12" s="236"/>
      <x:c r="R12" s="236"/>
      <x:c r="S12" s="234"/>
      <x:c r="T12" s="234"/>
    </x:row>
    <x:row r="13" ht="38" customHeight="1">
      <x:c r="A13" s="233"/>
      <x:c r="B13" s="234"/>
      <x:c r="C13" s="234"/>
      <x:c r="D13" s="234"/>
      <x:c r="E13" s="234"/>
      <x:c r="F13" s="234"/>
      <x:c r="G13" s="235"/>
      <x:c r="H13" s="234"/>
      <x:c r="I13" s="234"/>
      <x:c r="J13" s="236"/>
      <x:c r="K13" s="237"/>
      <x:c r="L13" s="238"/>
      <x:c r="M13" s="237"/>
      <x:c r="N13" s="236"/>
      <x:c r="O13" s="236"/>
      <x:c r="P13" s="236"/>
      <x:c r="Q13" s="236"/>
      <x:c r="R13" s="236"/>
      <x:c r="S13" s="234"/>
      <x:c r="T13" s="234"/>
    </x:row>
    <x:row r="14" ht="38" customHeight="1">
      <x:c r="A14" s="233"/>
      <x:c r="B14" s="234"/>
      <x:c r="C14" s="234"/>
      <x:c r="D14" s="234"/>
      <x:c r="E14" s="234"/>
      <x:c r="F14" s="234"/>
      <x:c r="G14" s="235"/>
      <x:c r="H14" s="234"/>
      <x:c r="I14" s="234"/>
      <x:c r="J14" s="236"/>
      <x:c r="K14" s="237"/>
      <x:c r="L14" s="238"/>
      <x:c r="M14" s="237"/>
      <x:c r="N14" s="236"/>
      <x:c r="O14" s="236"/>
      <x:c r="P14" s="236"/>
      <x:c r="Q14" s="236"/>
      <x:c r="R14" s="236"/>
      <x:c r="S14" s="234"/>
      <x:c r="T14" s="234"/>
    </x:row>
    <x:row r="15" ht="38" customHeight="1">
      <x:c r="A15" s="233"/>
      <x:c r="B15" s="234"/>
      <x:c r="C15" s="234"/>
      <x:c r="D15" s="234"/>
      <x:c r="E15" s="234"/>
      <x:c r="F15" s="234"/>
      <x:c r="G15" s="235"/>
      <x:c r="H15" s="234"/>
      <x:c r="I15" s="234"/>
      <x:c r="J15" s="236"/>
      <x:c r="K15" s="237"/>
      <x:c r="L15" s="238"/>
      <x:c r="M15" s="237"/>
      <x:c r="N15" s="236"/>
      <x:c r="O15" s="236"/>
      <x:c r="P15" s="236"/>
      <x:c r="Q15" s="236"/>
      <x:c r="R15" s="236"/>
      <x:c r="S15" s="234"/>
      <x:c r="T15" s="234"/>
    </x:row>
    <x:row r="16" ht="38" customHeight="1">
      <x:c r="A16" s="233"/>
      <x:c r="B16" s="234"/>
      <x:c r="C16" s="234"/>
      <x:c r="D16" s="234"/>
      <x:c r="E16" s="234"/>
      <x:c r="F16" s="234"/>
      <x:c r="G16" s="235"/>
      <x:c r="H16" s="234"/>
      <x:c r="I16" s="234"/>
      <x:c r="J16" s="236"/>
      <x:c r="K16" s="237"/>
      <x:c r="L16" s="238"/>
      <x:c r="M16" s="237"/>
      <x:c r="N16" s="236"/>
      <x:c r="O16" s="236"/>
      <x:c r="P16" s="236"/>
      <x:c r="Q16" s="236"/>
      <x:c r="R16" s="236"/>
      <x:c r="S16" s="234"/>
      <x:c r="T16" s="234"/>
    </x:row>
    <x:row r="17" ht="38" customHeight="1">
      <x:c r="A17" s="233"/>
      <x:c r="B17" s="234"/>
      <x:c r="C17" s="234"/>
      <x:c r="D17" s="234"/>
      <x:c r="E17" s="234"/>
      <x:c r="F17" s="234"/>
      <x:c r="G17" s="235"/>
      <x:c r="H17" s="234"/>
      <x:c r="I17" s="234"/>
      <x:c r="J17" s="236"/>
      <x:c r="K17" s="237"/>
      <x:c r="L17" s="238"/>
      <x:c r="M17" s="237"/>
      <x:c r="N17" s="236"/>
      <x:c r="O17" s="236"/>
      <x:c r="P17" s="236"/>
      <x:c r="Q17" s="236"/>
      <x:c r="R17" s="236"/>
      <x:c r="S17" s="234"/>
      <x:c r="T17" s="234"/>
    </x:row>
    <x:row r="18" ht="38" customHeight="1">
      <x:c r="A18" s="233"/>
      <x:c r="B18" s="234"/>
      <x:c r="C18" s="234"/>
      <x:c r="D18" s="234"/>
      <x:c r="E18" s="234"/>
      <x:c r="F18" s="234"/>
      <x:c r="G18" s="235"/>
      <x:c r="H18" s="234"/>
      <x:c r="I18" s="234"/>
      <x:c r="J18" s="236"/>
      <x:c r="K18" s="237"/>
      <x:c r="L18" s="238"/>
      <x:c r="M18" s="237"/>
      <x:c r="N18" s="236"/>
      <x:c r="O18" s="236"/>
      <x:c r="P18" s="236"/>
      <x:c r="Q18" s="236"/>
      <x:c r="R18" s="236"/>
      <x:c r="S18" s="234"/>
      <x:c r="T18" s="234"/>
    </x:row>
    <x:row r="19" ht="38" customHeight="1">
      <x:c r="A19" s="233"/>
      <x:c r="B19" s="234"/>
      <x:c r="C19" s="234"/>
      <x:c r="D19" s="234"/>
      <x:c r="E19" s="234"/>
      <x:c r="F19" s="234"/>
      <x:c r="G19" s="235"/>
      <x:c r="H19" s="234"/>
      <x:c r="I19" s="234"/>
      <x:c r="J19" s="236"/>
      <x:c r="K19" s="237"/>
      <x:c r="L19" s="238"/>
      <x:c r="M19" s="237"/>
      <x:c r="N19" s="236"/>
      <x:c r="O19" s="236"/>
      <x:c r="P19" s="236"/>
      <x:c r="Q19" s="236"/>
      <x:c r="R19" s="236"/>
      <x:c r="S19" s="234"/>
      <x:c r="T19" s="234"/>
    </x:row>
    <x:row r="20" ht="38" customHeight="1">
      <x:c r="A20" s="233"/>
      <x:c r="B20" s="234"/>
      <x:c r="C20" s="234"/>
      <x:c r="D20" s="234"/>
      <x:c r="E20" s="234"/>
      <x:c r="F20" s="234"/>
      <x:c r="G20" s="235"/>
      <x:c r="H20" s="234"/>
      <x:c r="I20" s="234"/>
      <x:c r="J20" s="236"/>
      <x:c r="K20" s="237"/>
      <x:c r="L20" s="238"/>
      <x:c r="M20" s="237"/>
      <x:c r="N20" s="236"/>
      <x:c r="O20" s="236"/>
      <x:c r="P20" s="236"/>
      <x:c r="Q20" s="236"/>
      <x:c r="R20" s="236"/>
      <x:c r="S20" s="234"/>
      <x:c r="T20" s="234"/>
    </x:row>
    <x:row r="21" ht="38" customHeight="1">
      <x:c r="A21" s="233"/>
      <x:c r="B21" s="234"/>
      <x:c r="C21" s="234"/>
      <x:c r="D21" s="234"/>
      <x:c r="E21" s="234"/>
      <x:c r="F21" s="234"/>
      <x:c r="G21" s="235"/>
      <x:c r="H21" s="234"/>
      <x:c r="I21" s="234"/>
      <x:c r="J21" s="236"/>
      <x:c r="K21" s="237"/>
      <x:c r="L21" s="238"/>
      <x:c r="M21" s="237"/>
      <x:c r="N21" s="236"/>
      <x:c r="O21" s="236"/>
      <x:c r="P21" s="236"/>
      <x:c r="Q21" s="236"/>
      <x:c r="R21" s="236"/>
      <x:c r="S21" s="234"/>
      <x:c r="T21" s="234"/>
    </x:row>
    <x:row r="22" ht="38" customHeight="1">
      <x:c r="A22" s="233"/>
      <x:c r="B22" s="234"/>
      <x:c r="C22" s="234"/>
      <x:c r="D22" s="234"/>
      <x:c r="E22" s="234"/>
      <x:c r="F22" s="234"/>
      <x:c r="G22" s="235"/>
      <x:c r="H22" s="234"/>
      <x:c r="I22" s="234"/>
      <x:c r="J22" s="236"/>
      <x:c r="K22" s="237"/>
      <x:c r="L22" s="238"/>
      <x:c r="M22" s="237"/>
      <x:c r="N22" s="236"/>
      <x:c r="O22" s="236"/>
      <x:c r="P22" s="236"/>
      <x:c r="Q22" s="236"/>
      <x:c r="R22" s="236"/>
      <x:c r="S22" s="234"/>
      <x:c r="T22" s="234"/>
    </x:row>
    <x:row r="23" ht="38" customHeight="1">
      <x:c r="A23" s="233"/>
      <x:c r="B23" s="234"/>
      <x:c r="C23" s="234"/>
      <x:c r="D23" s="234"/>
      <x:c r="E23" s="234"/>
      <x:c r="F23" s="234"/>
      <x:c r="G23" s="235"/>
      <x:c r="H23" s="234"/>
      <x:c r="I23" s="234"/>
      <x:c r="J23" s="236"/>
      <x:c r="K23" s="237"/>
      <x:c r="L23" s="238"/>
      <x:c r="M23" s="237"/>
      <x:c r="N23" s="236"/>
      <x:c r="O23" s="236"/>
      <x:c r="P23" s="236"/>
      <x:c r="Q23" s="236"/>
      <x:c r="R23" s="236"/>
      <x:c r="S23" s="234"/>
      <x:c r="T23" s="234"/>
    </x:row>
    <x:row r="24" ht="38" customHeight="1">
      <x:c r="A24" s="233"/>
      <x:c r="B24" s="234"/>
      <x:c r="C24" s="234"/>
      <x:c r="D24" s="234"/>
      <x:c r="E24" s="234"/>
      <x:c r="F24" s="234"/>
      <x:c r="G24" s="235"/>
      <x:c r="H24" s="234"/>
      <x:c r="I24" s="234"/>
      <x:c r="J24" s="236"/>
      <x:c r="K24" s="237"/>
      <x:c r="L24" s="238"/>
      <x:c r="M24" s="237"/>
      <x:c r="N24" s="236"/>
      <x:c r="O24" s="236"/>
      <x:c r="P24" s="236"/>
      <x:c r="Q24" s="236"/>
      <x:c r="R24" s="236"/>
      <x:c r="S24" s="234"/>
      <x:c r="T24" s="234"/>
    </x:row>
    <x:row r="25" ht="38" customHeight="1">
      <x:c r="A25" s="233"/>
      <x:c r="B25" s="234"/>
      <x:c r="C25" s="234"/>
      <x:c r="D25" s="234"/>
      <x:c r="E25" s="234"/>
      <x:c r="F25" s="234"/>
      <x:c r="G25" s="235"/>
      <x:c r="H25" s="234"/>
      <x:c r="I25" s="234"/>
      <x:c r="J25" s="236"/>
      <x:c r="K25" s="237"/>
      <x:c r="L25" s="238"/>
      <x:c r="M25" s="237"/>
      <x:c r="N25" s="236"/>
      <x:c r="O25" s="236"/>
      <x:c r="P25" s="236"/>
      <x:c r="Q25" s="236"/>
      <x:c r="R25" s="236"/>
      <x:c r="S25" s="234"/>
      <x:c r="T25" s="234"/>
    </x:row>
    <x:row r="26" ht="38" customHeight="1">
      <x:c r="A26" s="233"/>
      <x:c r="B26" s="234"/>
      <x:c r="C26" s="234"/>
      <x:c r="D26" s="234"/>
      <x:c r="E26" s="234"/>
      <x:c r="F26" s="234"/>
      <x:c r="G26" s="235"/>
      <x:c r="H26" s="234"/>
      <x:c r="I26" s="234"/>
      <x:c r="J26" s="236"/>
      <x:c r="K26" s="237"/>
      <x:c r="L26" s="238"/>
      <x:c r="M26" s="237"/>
      <x:c r="N26" s="236"/>
      <x:c r="O26" s="236"/>
      <x:c r="P26" s="236"/>
      <x:c r="Q26" s="236"/>
      <x:c r="R26" s="236"/>
      <x:c r="S26" s="234"/>
      <x:c r="T26" s="234"/>
    </x:row>
    <x:row r="27" ht="38" customHeight="1">
      <x:c r="A27" s="233"/>
      <x:c r="B27" s="234"/>
      <x:c r="C27" s="234"/>
      <x:c r="D27" s="234"/>
      <x:c r="E27" s="234"/>
      <x:c r="F27" s="234"/>
      <x:c r="G27" s="235"/>
      <x:c r="H27" s="234"/>
      <x:c r="I27" s="234"/>
      <x:c r="J27" s="236"/>
      <x:c r="K27" s="237"/>
      <x:c r="L27" s="238"/>
      <x:c r="M27" s="237"/>
      <x:c r="N27" s="236"/>
      <x:c r="O27" s="236"/>
      <x:c r="P27" s="236"/>
      <x:c r="Q27" s="236"/>
      <x:c r="R27" s="236"/>
      <x:c r="S27" s="234"/>
      <x:c r="T27" s="234"/>
    </x:row>
    <x:row r="28" ht="38" customHeight="1">
      <x:c r="A28" s="233"/>
      <x:c r="B28" s="234"/>
      <x:c r="C28" s="234"/>
      <x:c r="D28" s="234"/>
      <x:c r="E28" s="234"/>
      <x:c r="F28" s="234"/>
      <x:c r="G28" s="235"/>
      <x:c r="H28" s="234"/>
      <x:c r="I28" s="234"/>
      <x:c r="J28" s="236"/>
      <x:c r="K28" s="237"/>
      <x:c r="L28" s="238"/>
      <x:c r="M28" s="237"/>
      <x:c r="N28" s="236"/>
      <x:c r="O28" s="236"/>
      <x:c r="P28" s="236"/>
      <x:c r="Q28" s="236"/>
      <x:c r="R28" s="236"/>
      <x:c r="S28" s="234"/>
      <x:c r="T28" s="234"/>
    </x:row>
    <x:row r="29" ht="38" customHeight="1">
      <x:c r="A29" s="233"/>
      <x:c r="B29" s="234"/>
      <x:c r="C29" s="234"/>
      <x:c r="D29" s="234"/>
      <x:c r="E29" s="234"/>
      <x:c r="F29" s="234"/>
      <x:c r="G29" s="235"/>
      <x:c r="H29" s="234"/>
      <x:c r="I29" s="234"/>
      <x:c r="J29" s="236"/>
      <x:c r="K29" s="237"/>
      <x:c r="L29" s="238"/>
      <x:c r="M29" s="237"/>
      <x:c r="N29" s="236"/>
      <x:c r="O29" s="236"/>
      <x:c r="P29" s="236"/>
      <x:c r="Q29" s="236"/>
      <x:c r="R29" s="236"/>
      <x:c r="S29" s="234"/>
      <x:c r="T29" s="234"/>
    </x:row>
    <x:row r="30" ht="38" customHeight="1">
      <x:c r="A30" s="233"/>
      <x:c r="B30" s="234"/>
      <x:c r="C30" s="234"/>
      <x:c r="D30" s="234"/>
      <x:c r="E30" s="234"/>
      <x:c r="F30" s="234"/>
      <x:c r="G30" s="235"/>
      <x:c r="H30" s="234"/>
      <x:c r="I30" s="234"/>
      <x:c r="J30" s="236"/>
      <x:c r="K30" s="237"/>
      <x:c r="L30" s="238"/>
      <x:c r="M30" s="237"/>
      <x:c r="N30" s="236"/>
      <x:c r="O30" s="236"/>
      <x:c r="P30" s="236"/>
      <x:c r="Q30" s="236"/>
      <x:c r="R30" s="236"/>
      <x:c r="S30" s="234"/>
      <x:c r="T30" s="234"/>
    </x:row>
    <x:row r="31" ht="38" customHeight="1">
      <x:c r="A31" s="233"/>
      <x:c r="B31" s="234"/>
      <x:c r="C31" s="234"/>
      <x:c r="D31" s="234"/>
      <x:c r="E31" s="234"/>
      <x:c r="F31" s="234"/>
      <x:c r="G31" s="235"/>
      <x:c r="H31" s="234"/>
      <x:c r="I31" s="234"/>
      <x:c r="J31" s="236"/>
      <x:c r="K31" s="237"/>
      <x:c r="L31" s="238"/>
      <x:c r="M31" s="237"/>
      <x:c r="N31" s="236"/>
      <x:c r="O31" s="236"/>
      <x:c r="P31" s="236"/>
      <x:c r="Q31" s="236"/>
      <x:c r="R31" s="236"/>
      <x:c r="S31" s="234"/>
      <x:c r="T31" s="234"/>
    </x:row>
    <x:row r="32" ht="38" customHeight="1">
      <x:c r="A32" s="233"/>
      <x:c r="B32" s="234"/>
      <x:c r="C32" s="234"/>
      <x:c r="D32" s="234"/>
      <x:c r="E32" s="234"/>
      <x:c r="F32" s="234"/>
      <x:c r="G32" s="235"/>
      <x:c r="H32" s="234"/>
      <x:c r="I32" s="234"/>
      <x:c r="J32" s="236"/>
      <x:c r="K32" s="237"/>
      <x:c r="L32" s="238"/>
      <x:c r="M32" s="237"/>
      <x:c r="N32" s="236"/>
      <x:c r="O32" s="236"/>
      <x:c r="P32" s="236"/>
      <x:c r="Q32" s="236"/>
      <x:c r="R32" s="236"/>
      <x:c r="S32" s="234"/>
      <x:c r="T32" s="234"/>
    </x:row>
    <x:row r="33" ht="38" customHeight="1">
      <x:c r="A33" s="233"/>
      <x:c r="B33" s="234"/>
      <x:c r="C33" s="234"/>
      <x:c r="D33" s="234"/>
      <x:c r="E33" s="234"/>
      <x:c r="F33" s="234"/>
      <x:c r="G33" s="235"/>
      <x:c r="H33" s="234"/>
      <x:c r="I33" s="234"/>
      <x:c r="J33" s="236"/>
      <x:c r="K33" s="237"/>
      <x:c r="L33" s="238"/>
      <x:c r="M33" s="237"/>
      <x:c r="N33" s="236"/>
      <x:c r="O33" s="236"/>
      <x:c r="P33" s="236"/>
      <x:c r="Q33" s="236"/>
      <x:c r="R33" s="236"/>
      <x:c r="S33" s="234"/>
      <x:c r="T33" s="234"/>
    </x:row>
    <x:row r="34" ht="38" customHeight="1">
      <x:c r="A34" s="233"/>
      <x:c r="B34" s="234"/>
      <x:c r="C34" s="234"/>
      <x:c r="D34" s="234"/>
      <x:c r="E34" s="234"/>
      <x:c r="F34" s="234"/>
      <x:c r="G34" s="235"/>
      <x:c r="H34" s="234"/>
      <x:c r="I34" s="234"/>
      <x:c r="J34" s="236"/>
      <x:c r="K34" s="237"/>
      <x:c r="L34" s="238"/>
      <x:c r="M34" s="237"/>
      <x:c r="N34" s="236"/>
      <x:c r="O34" s="236"/>
      <x:c r="P34" s="236"/>
      <x:c r="Q34" s="236"/>
      <x:c r="R34" s="236"/>
      <x:c r="S34" s="234"/>
      <x:c r="T34" s="234"/>
    </x:row>
  </x:sheetData>
  <x:mergeCells>
    <x:mergeCell ref="A1:T1"/>
    <x:mergeCell ref="A2:T2"/>
  </x:mergeCells>
  <x:conditionalFormatting sqref="S5:S34">
    <x:cfRule type="containsText" dxfId="0" priority="1" operator="containsText" text="待审核"/>
    <x:cfRule type="containsText" dxfId="1" priority="2" operator="containsText" text="已发布"/>
  </x:conditionalFormatting>
  <x:dataValidations count="2">
    <x:dataValidation type="list" sqref="S5:S34">
      <x:formula1>"待选题,待审核,已拍摄,已发布,已复盘,放弃"</x:formula1>
    </x:dataValidation>
    <x:dataValidation type="list" sqref="C5:C34">
      <x:formula1>"社会热点,AI/科技,消费/生活,职场,互联网,国际趣闻,娱乐,体育,政策/公共议题"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37b6eba90840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34" hidden="0" customWidth="1"/>
    <x:col min="17" max="17" width="48" hidden="0" customWidth="1"/>
  </x:cols>
  <x:sheetData>
    <x:row r="1" ht="34" customHeight="1">
      <x:c r="A1" s="221" t="str">
        <x:v>每日候选选题评分｜2026-07-15</x:v>
      </x:c>
      <x:c r="B1" s="221" t="str">
        <x:v>每日候选选题评分｜2026-07-15</x:v>
      </x:c>
      <x:c r="C1" s="221" t="str">
        <x:v>每日候选选题评分｜2026-07-15</x:v>
      </x:c>
      <x:c r="D1" s="221" t="str">
        <x:v>每日候选选题评分｜2026-07-15</x:v>
      </x:c>
      <x:c r="E1" s="221" t="str">
        <x:v>每日候选选题评分｜2026-07-15</x:v>
      </x:c>
      <x:c r="F1" s="221" t="str">
        <x:v>每日候选选题评分｜2026-07-15</x:v>
      </x:c>
      <x:c r="G1" s="221" t="str">
        <x:v>每日候选选题评分｜2026-07-15</x:v>
      </x:c>
      <x:c r="H1" s="221" t="str">
        <x:v>每日候选选题评分｜2026-07-15</x:v>
      </x:c>
      <x:c r="I1" s="221" t="str">
        <x:v>每日候选选题评分｜2026-07-15</x:v>
      </x:c>
      <x:c r="J1" s="221" t="str">
        <x:v>每日候选选题评分｜2026-07-15</x:v>
      </x:c>
      <x:c r="K1" s="221" t="str">
        <x:v>每日候选选题评分｜2026-07-15</x:v>
      </x:c>
      <x:c r="L1" s="221" t="str">
        <x:v>每日候选选题评分｜2026-07-15</x:v>
      </x:c>
      <x:c r="M1" s="221" t="str">
        <x:v>每日候选选题评分｜2026-07-15</x:v>
      </x:c>
      <x:c r="N1" s="221" t="str">
        <x:v>每日候选选题评分｜2026-07-15</x:v>
      </x:c>
      <x:c r="O1" s="221" t="str">
        <x:v>每日候选选题评分｜2026-07-15</x:v>
      </x:c>
      <x:c r="P1" s="221" t="str">
        <x:v>每日候选选题评分｜2026-07-15</x:v>
      </x:c>
      <x:c r="Q1" s="221" t="str">
        <x:v>每日候选选题评分｜2026-07-15</x:v>
      </x:c>
    </x:row>
    <x:row r="2">
      <x:c r="A2" s="241" t="str">
        <x:v>风险分越高风险越大。推荐指数 = 正向加权分 - max(0, 风险-3)×2.5；主选题可信度和可讲性均需≥8。</x:v>
      </x:c>
      <x:c r="B2" s="241"/>
      <x:c r="C2" s="241"/>
      <x:c r="D2" s="241"/>
      <x:c r="E2" s="241"/>
      <x:c r="F2" s="241"/>
      <x:c r="G2" s="241"/>
      <x:c r="H2" s="241"/>
      <x:c r="I2" s="241"/>
      <x:c r="J2" s="241"/>
      <x:c r="K2" s="241"/>
      <x:c r="L2" s="241"/>
      <x:c r="M2" s="241"/>
      <x:c r="N2" s="241"/>
      <x:c r="O2" s="241"/>
      <x:c r="P2" s="241"/>
      <x:c r="Q2" s="241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  <x:c r="O3" s="223"/>
      <x:c r="P3" s="223"/>
      <x:c r="Q3" s="223"/>
    </x:row>
    <x:row r="4" ht="34" customHeight="1">
      <x:c r="A4" s="224" t="str">
        <x:v>日期</x:v>
      </x:c>
      <x:c r="B4" s="225" t="str">
        <x:v>候选</x:v>
      </x:c>
      <x:c r="C4" s="225" t="str">
        <x:v>类型</x:v>
      </x:c>
      <x:c r="D4" s="225" t="str">
        <x:v>时效</x:v>
      </x:c>
      <x:c r="E4" s="225" t="str">
        <x:v>相关</x:v>
      </x:c>
      <x:c r="F4" s="225" t="str">
        <x:v>新奇</x:v>
      </x:c>
      <x:c r="G4" s="225" t="str">
        <x:v>可讲</x:v>
      </x:c>
      <x:c r="H4" s="225" t="str">
        <x:v>观点</x:v>
      </x:c>
      <x:c r="I4" s="225" t="str">
        <x:v>互动</x:v>
      </x:c>
      <x:c r="J4" s="225" t="str">
        <x:v>可信</x:v>
      </x:c>
      <x:c r="K4" s="225" t="str">
        <x:v>风险</x:v>
      </x:c>
      <x:c r="L4" s="225" t="str">
        <x:v>正向加权分</x:v>
      </x:c>
      <x:c r="M4" s="225" t="str">
        <x:v>风险扣分</x:v>
      </x:c>
      <x:c r="N4" s="225" t="str">
        <x:v>推荐指数</x:v>
      </x:c>
      <x:c r="O4" s="225" t="str">
        <x:v>结论</x:v>
      </x:c>
      <x:c r="P4" s="225" t="str">
        <x:v>推荐/不推荐原因</x:v>
      </x:c>
      <x:c r="Q4" s="226" t="str">
        <x:v>主要来源</x:v>
      </x:c>
    </x:row>
    <x:row r="5" ht="54" customHeight="1">
      <x:c r="A5" s="227" t="n">
        <x:v>46218</x:v>
      </x:c>
      <x:c r="B5" s="228" t="str">
        <x:v>新能源车“平均车龄1.8年”误读</x:v>
      </x:c>
      <x:c r="C5" s="228" t="str">
        <x:v>消费/科技/数据素养</x:v>
      </x:c>
      <x:c r="D5" s="229" t="n">
        <x:v>9</x:v>
      </x:c>
      <x:c r="E5" s="229" t="n">
        <x:v>9</x:v>
      </x:c>
      <x:c r="F5" s="229" t="n">
        <x:v>9</x:v>
      </x:c>
      <x:c r="G5" s="229" t="n">
        <x:v>10</x:v>
      </x:c>
      <x:c r="H5" s="229" t="n">
        <x:v>9</x:v>
      </x:c>
      <x:c r="I5" s="229" t="n">
        <x:v>9</x:v>
      </x:c>
      <x:c r="J5" s="229" t="n">
        <x:v>9</x:v>
      </x:c>
      <x:c r="K5" s="229" t="n">
        <x:v>3</x:v>
      </x:c>
      <x:c r="L5" s="242" t="n">
        <x:f>(D5*15+E5*15+F5*12+G5*15+H5*13+I5*12+J5*18)/10</x:f>
        <x:v>91.5</x:v>
      </x:c>
      <x:c r="M5" s="242" t="n">
        <x:f>MAX(0,K5-3)*2.5</x:f>
        <x:v>0</x:v>
      </x:c>
      <x:c r="N5" s="242" t="n">
        <x:f>L5-M5</x:f>
        <x:v>91.5</x:v>
      </x:c>
      <x:c r="O5" s="228" t="str">
        <x:v>主选题</x:v>
      </x:c>
      <x:c r="P5" s="228" t="str">
        <x:v>跨抖音和小红书；口径反常识、可核验、风险低</x:v>
      </x:c>
      <x:c r="Q5" s="228" t="str">
        <x:v>https://www.eeo.com.cn/2026/0714/817225.shtml</x:v>
      </x:c>
    </x:row>
    <x:row r="6" ht="54" customHeight="1">
      <x:c r="A6" s="233" t="n">
        <x:v>46218</x:v>
      </x:c>
      <x:c r="B6" s="234" t="str">
        <x:v>AI拟人化互动服务新规施行</x:v>
      </x:c>
      <x:c r="C6" s="234" t="str">
        <x:v>AI/社会/政策</x:v>
      </x:c>
      <x:c r="D6" s="235" t="n">
        <x:v>10</x:v>
      </x:c>
      <x:c r="E6" s="235" t="n">
        <x:v>9</x:v>
      </x:c>
      <x:c r="F6" s="235" t="n">
        <x:v>9</x:v>
      </x:c>
      <x:c r="G6" s="235" t="n">
        <x:v>9</x:v>
      </x:c>
      <x:c r="H6" s="235" t="n">
        <x:v>10</x:v>
      </x:c>
      <x:c r="I6" s="235" t="n">
        <x:v>10</x:v>
      </x:c>
      <x:c r="J6" s="235" t="n">
        <x:v>10</x:v>
      </x:c>
      <x:c r="K6" s="235" t="n">
        <x:v>6</x:v>
      </x:c>
      <x:c r="L6" s="243" t="n">
        <x:f>(D6*15+E6*15+F6*12+G6*15+H6*13+I6*12+J6*18)/10</x:f>
        <x:v>95.8</x:v>
      </x:c>
      <x:c r="M6" s="243" t="n">
        <x:f>MAX(0,K6-3)*2.5</x:f>
        <x:v>7.5</x:v>
      </x:c>
      <x:c r="N6" s="243" t="n">
        <x:f>L6-M6</x:f>
        <x:v>88.3</x:v>
      </x:c>
      <x:c r="O6" s="234" t="str">
        <x:v>备选1</x:v>
      </x:c>
      <x:c r="P6" s="234" t="str">
        <x:v>时效与互动强，但法规措辞需人工审核</x:v>
      </x:c>
      <x:c r="Q6" s="234" t="str">
        <x:v>https://www.cac.gov.cn/2026-04/10/c_1777558395078289.htm</x:v>
      </x:c>
    </x:row>
    <x:row r="7" ht="54" customHeight="1">
      <x:c r="A7" s="233" t="n">
        <x:v>46218</x:v>
      </x:c>
      <x:c r="B7" s="234" t="str">
        <x:v>法国队出局但姆巴佩冲击金靴</x:v>
      </x:c>
      <x:c r="C7" s="234" t="str">
        <x:v>国际/体育</x:v>
      </x:c>
      <x:c r="D7" s="235" t="n">
        <x:v>10</x:v>
      </x:c>
      <x:c r="E7" s="235" t="n">
        <x:v>8</x:v>
      </x:c>
      <x:c r="F7" s="235" t="n">
        <x:v>7</x:v>
      </x:c>
      <x:c r="G7" s="235" t="n">
        <x:v>9</x:v>
      </x:c>
      <x:c r="H7" s="235" t="n">
        <x:v>8</x:v>
      </x:c>
      <x:c r="I7" s="235" t="n">
        <x:v>9</x:v>
      </x:c>
      <x:c r="J7" s="235" t="n">
        <x:v>9</x:v>
      </x:c>
      <x:c r="K7" s="235" t="n">
        <x:v>4</x:v>
      </x:c>
      <x:c r="L7" s="243" t="n">
        <x:f>(D7*15+E7*15+F7*12+G7*15+H7*13+I7*12+J7*18)/10</x:f>
        <x:v>86.3</x:v>
      </x:c>
      <x:c r="M7" s="243" t="n">
        <x:f>MAX(0,K7-3)*2.5</x:f>
        <x:v>2.5</x:v>
      </x:c>
      <x:c r="N7" s="243" t="n">
        <x:f>L7-M7</x:f>
        <x:v>83.8</x:v>
      </x:c>
      <x:c r="O7" s="234" t="str">
        <x:v>备选2</x:v>
      </x:c>
      <x:c r="P7" s="234" t="str">
        <x:v>国际热度高，但赛事状态会持续变化</x:v>
      </x:c>
      <x:c r="Q7" s="234" t="str">
        <x:v>https://www.fifa.com/en/tournaments/mens/worldcup/canadamexicousa2026</x:v>
      </x:c>
    </x:row>
    <x:row r="8" ht="54" customHeight="1">
      <x:c r="A8" s="233" t="n">
        <x:v>46218</x:v>
      </x:c>
      <x:c r="B8" s="234" t="str">
        <x:v>人形机器人骑马射箭</x:v>
      </x:c>
      <x:c r="C8" s="234" t="str">
        <x:v>科技趣闻</x:v>
      </x:c>
      <x:c r="D8" s="235" t="n">
        <x:v>8</x:v>
      </x:c>
      <x:c r="E8" s="235" t="n">
        <x:v>8</x:v>
      </x:c>
      <x:c r="F8" s="235" t="n">
        <x:v>10</x:v>
      </x:c>
      <x:c r="G8" s="235" t="n">
        <x:v>9</x:v>
      </x:c>
      <x:c r="H8" s="235" t="n">
        <x:v>8</x:v>
      </x:c>
      <x:c r="I8" s="235" t="n">
        <x:v>8</x:v>
      </x:c>
      <x:c r="J8" s="235" t="n">
        <x:v>7</x:v>
      </x:c>
      <x:c r="K8" s="235" t="n">
        <x:v>3</x:v>
      </x:c>
      <x:c r="L8" s="243" t="n">
        <x:f>(D8*15+E8*15+F8*12+G8*15+H8*13+I8*12+J8*18)/10</x:f>
        <x:v>82.1</x:v>
      </x:c>
      <x:c r="M8" s="243" t="n">
        <x:f>MAX(0,K8-3)*2.5</x:f>
        <x:v>0</x:v>
      </x:c>
      <x:c r="N8" s="243" t="n">
        <x:f>L8-M8</x:f>
        <x:v>82.1</x:v>
      </x:c>
      <x:c r="O8" s="234" t="str">
        <x:v>不主推</x:v>
      </x:c>
      <x:c r="P8" s="234" t="str">
        <x:v>视觉新奇但技术细节和自主程度不足</x:v>
      </x:c>
      <x:c r="Q8" s="234" t="str">
        <x:v>https://www.douyin.com/hot/2572482/</x:v>
      </x:c>
    </x:row>
    <x:row r="9" ht="54" customHeight="1">
      <x:c r="A9" s="233" t="n">
        <x:v>46218</x:v>
      </x:c>
      <x:c r="B9" s="234" t="str">
        <x:v>未成年人申领网号网证</x:v>
      </x:c>
      <x:c r="C9" s="234" t="str">
        <x:v>互联网/政策</x:v>
      </x:c>
      <x:c r="D9" s="235" t="n">
        <x:v>9</x:v>
      </x:c>
      <x:c r="E9" s="235" t="n">
        <x:v>8</x:v>
      </x:c>
      <x:c r="F9" s="235" t="n">
        <x:v>7</x:v>
      </x:c>
      <x:c r="G9" s="235" t="n">
        <x:v>8</x:v>
      </x:c>
      <x:c r="H9" s="235" t="n">
        <x:v>8</x:v>
      </x:c>
      <x:c r="I9" s="235" t="n">
        <x:v>9</x:v>
      </x:c>
      <x:c r="J9" s="235" t="n">
        <x:v>10</x:v>
      </x:c>
      <x:c r="K9" s="235" t="n">
        <x:v>6</x:v>
      </x:c>
      <x:c r="L9" s="243" t="n">
        <x:f>(D9*15+E9*15+F9*12+G9*15+H9*13+I9*12+J9*18)/10</x:f>
        <x:v>85.1</x:v>
      </x:c>
      <x:c r="M9" s="243" t="n">
        <x:f>MAX(0,K9-3)*2.5</x:f>
        <x:v>7.5</x:v>
      </x:c>
      <x:c r="N9" s="243" t="n">
        <x:f>L9-M9</x:f>
        <x:v>77.6</x:v>
      </x:c>
      <x:c r="O9" s="234" t="str">
        <x:v>不主推</x:v>
      </x:c>
      <x:c r="P9" s="234" t="str">
        <x:v>公共价值高，但政策隐私议题风险较高</x:v>
      </x:c>
      <x:c r="Q9" s="234" t="str">
        <x:v>https://www.gov.cn/zhengce/content/202505/content_7022047.htm</x:v>
      </x:c>
    </x:row>
  </x:sheetData>
  <x:mergeCells>
    <x:mergeCell ref="A1:Q1"/>
    <x:mergeCell ref="A2:Q2"/>
  </x:mergeCells>
  <x:conditionalFormatting sqref="K5:K9">
    <x:cfRule type="cellIs" dxfId="2" priority="1" operator="greaterThanOrEqual">
      <x:formula>6</x:formula>
    </x:cfRule>
  </x:conditionalFormatting>
  <x:conditionalFormatting sqref="N5:N9">
    <x:cfRule type="colorScale" priority="2">
      <x:colorScale>
        <x:cfvo type="min"/>
        <x:cfvo type="percentile" val="50"/>
        <x:cfvo type="max"/>
        <x:color rgb="FFFBE2E2"/>
        <x:color rgb="FFFFF3CD"/>
        <x:color rgb="FFDFF3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588ebbea6974b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8" hidden="0" customWidth="1"/>
    <x:col min="10" max="10" width="32" hidden="0" customWidth="1"/>
    <x:col min="11" max="11" width="24" hidden="0" customWidth="1"/>
    <x:col min="12" max="12" width="24" hidden="0" customWidth="1"/>
    <x:col min="13" max="13" width="24" hidden="0" customWidth="1"/>
    <x:col min="14" max="14" width="34" hidden="0" customWidth="1"/>
  </x:cols>
  <x:sheetData>
    <x:row r="1" ht="34" customHeight="1">
      <x:c r="A1" s="221" t="str">
        <x:v>每7天内容复盘</x:v>
      </x:c>
      <x:c r="B1" s="221" t="str">
        <x:v>每7天内容复盘</x:v>
      </x:c>
      <x:c r="C1" s="221" t="str">
        <x:v>每7天内容复盘</x:v>
      </x:c>
      <x:c r="D1" s="221" t="str">
        <x:v>每7天内容复盘</x:v>
      </x:c>
      <x:c r="E1" s="221" t="str">
        <x:v>每7天内容复盘</x:v>
      </x:c>
      <x:c r="F1" s="221" t="str">
        <x:v>每7天内容复盘</x:v>
      </x:c>
      <x:c r="G1" s="221" t="str">
        <x:v>每7天内容复盘</x:v>
      </x:c>
      <x:c r="H1" s="221" t="str">
        <x:v>每7天内容复盘</x:v>
      </x:c>
      <x:c r="I1" s="221" t="str">
        <x:v>每7天内容复盘</x:v>
      </x:c>
      <x:c r="J1" s="221" t="str">
        <x:v>每7天内容复盘</x:v>
      </x:c>
      <x:c r="K1" s="221" t="str">
        <x:v>每7天内容复盘</x:v>
      </x:c>
      <x:c r="L1" s="221" t="str">
        <x:v>每7天内容复盘</x:v>
      </x:c>
      <x:c r="M1" s="221" t="str">
        <x:v>每7天内容复盘</x:v>
      </x:c>
      <x:c r="N1" s="221" t="str">
        <x:v>每7天内容复盘</x:v>
      </x:c>
    </x:row>
    <x:row r="2">
      <x:c r="A2" s="251" t="str">
        <x:v>不要因单条视频下结论；优先比较同类型3条以上。黄色列为人工复盘结论。</x:v>
      </x:c>
      <x:c r="B2" s="251"/>
      <x:c r="C2" s="251"/>
      <x:c r="D2" s="251"/>
      <x:c r="E2" s="251"/>
      <x:c r="F2" s="251"/>
      <x:c r="G2" s="251"/>
      <x:c r="H2" s="251"/>
      <x:c r="I2" s="251"/>
      <x:c r="J2" s="251"/>
      <x:c r="K2" s="251"/>
      <x:c r="L2" s="251"/>
      <x:c r="M2" s="251"/>
      <x:c r="N2" s="251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</x:row>
    <x:row r="4" ht="34" customHeight="1">
      <x:c r="A4" s="224" t="str">
        <x:v>周次</x:v>
      </x:c>
      <x:c r="B4" s="225" t="str">
        <x:v>开始日期</x:v>
      </x:c>
      <x:c r="C4" s="225" t="str">
        <x:v>结束日期</x:v>
      </x:c>
      <x:c r="D4" s="225" t="str">
        <x:v>发布数</x:v>
      </x:c>
      <x:c r="E4" s="225" t="str">
        <x:v>平均3秒留存</x:v>
      </x:c>
      <x:c r="F4" s="225" t="str">
        <x:v>平均完播率</x:v>
      </x:c>
      <x:c r="G4" s="225" t="str">
        <x:v>总播放</x:v>
      </x:c>
      <x:c r="H4" s="225" t="str">
        <x:v>互动率</x:v>
      </x:c>
      <x:c r="I4" s="225" t="str">
        <x:v>最佳类型</x:v>
      </x:c>
      <x:c r="J4" s="225" t="str">
        <x:v>最佳钩子</x:v>
      </x:c>
      <x:c r="K4" s="225" t="str">
        <x:v>增加</x:v>
      </x:c>
      <x:c r="L4" s="225" t="str">
        <x:v>减少</x:v>
      </x:c>
      <x:c r="M4" s="225" t="str">
        <x:v>停止</x:v>
      </x:c>
      <x:c r="N4" s="226" t="str">
        <x:v>表达/风险备注</x:v>
      </x:c>
    </x:row>
    <x:row r="5" ht="48" customHeight="1">
      <x:c r="A5" s="228" t="n">
        <x:v>1</x:v>
      </x:c>
      <x:c r="B5" s="227" t="n">
        <x:v>46218</x:v>
      </x:c>
      <x:c r="C5" s="227" t="n">
        <x:v>46224</x:v>
      </x:c>
      <x:c r="D5" s="228" t="n">
        <x:f>COUNTIFS('内容台账'!$A$5:$A$34,"&gt;="&amp;B5,'内容台账'!$A$5:$A$34,"&lt;="&amp;C5,'内容台账'!$S$5:$S$34,"已发布")</x:f>
        <x:v>0</x:v>
      </x:c>
      <x:c r="E5" s="252" t="n">
        <x:f>IFERROR(AVERAGEIFS('内容台账'!$K$5:$K$34,'内容台账'!$A$5:$A$34,"&gt;="&amp;B5,'内容台账'!$A$5:$A$34,"&lt;="&amp;C5,'内容台账'!$S$5:$S$34,"已发布"),0)</x:f>
        <x:v>0</x:v>
      </x:c>
      <x:c r="F5" s="252" t="n">
        <x:f>IFERROR(AVERAGEIFS('内容台账'!$M$5:$M$34,'内容台账'!$A$5:$A$34,"&gt;="&amp;B5,'内容台账'!$A$5:$A$34,"&lt;="&amp;C5,'内容台账'!$S$5:$S$34,"已发布"),0)</x:f>
        <x:v>0</x:v>
      </x:c>
      <x:c r="G5" s="253" t="n">
        <x:f>SUMIFS('内容台账'!$J$5:$J$34,'内容台账'!$A$5:$A$34,"&gt;="&amp;B5,'内容台账'!$A$5:$A$34,"&lt;="&amp;C5)</x:f>
        <x:v>0</x:v>
      </x:c>
      <x:c r="H5" s="252" t="n">
        <x:f>IFERROR((SUMIFS('内容台账'!$N$5:$N$34,'内容台账'!$A$5:$A$34,"&gt;="&amp;B5,'内容台账'!$A$5:$A$34,"&lt;="&amp;C5)+SUMIFS('内容台账'!$O$5:$O$34,'内容台账'!$A$5:$A$34,"&gt;="&amp;B5,'内容台账'!$A$5:$A$34,"&lt;="&amp;C5)+SUMIFS('内容台账'!$P$5:$P$34,'内容台账'!$A$5:$A$34,"&gt;="&amp;B5,'内容台账'!$A$5:$A$34,"&lt;="&amp;C5)+SUMIFS('内容台账'!$Q$5:$Q$34,'内容台账'!$A$5:$A$34,"&gt;="&amp;B5,'内容台账'!$A$5:$A$34,"&lt;="&amp;C5))/G5,0)</x:f>
        <x:v>0</x:v>
      </x:c>
      <x:c r="I5" s="254" t="str"/>
      <x:c r="J5" s="254" t="str"/>
      <x:c r="K5" s="254" t="str"/>
      <x:c r="L5" s="254" t="str"/>
      <x:c r="M5" s="254" t="str"/>
      <x:c r="N5" s="254" t="str"/>
    </x:row>
    <x:row r="6" ht="48" customHeight="1">
      <x:c r="A6" s="234" t="n">
        <x:v>2</x:v>
      </x:c>
      <x:c r="B6" s="233" t="n">
        <x:v>46225</x:v>
      </x:c>
      <x:c r="C6" s="233" t="n">
        <x:v>46231</x:v>
      </x:c>
      <x:c r="D6" s="234" t="n">
        <x:f>COUNTIFS('内容台账'!$A$5:$A$34,"&gt;="&amp;B6,'内容台账'!$A$5:$A$34,"&lt;="&amp;C6,'内容台账'!$S$5:$S$34,"已发布")</x:f>
        <x:v>0</x:v>
      </x:c>
      <x:c r="E6" s="255" t="n">
        <x:f>IFERROR(AVERAGEIFS('内容台账'!$K$5:$K$34,'内容台账'!$A$5:$A$34,"&gt;="&amp;B6,'内容台账'!$A$5:$A$34,"&lt;="&amp;C6,'内容台账'!$S$5:$S$34,"已发布"),0)</x:f>
        <x:v>0</x:v>
      </x:c>
      <x:c r="F6" s="255" t="n">
        <x:f>IFERROR(AVERAGEIFS('内容台账'!$M$5:$M$34,'内容台账'!$A$5:$A$34,"&gt;="&amp;B6,'内容台账'!$A$5:$A$34,"&lt;="&amp;C6,'内容台账'!$S$5:$S$34,"已发布"),0)</x:f>
        <x:v>0</x:v>
      </x:c>
      <x:c r="G6" s="256" t="n">
        <x:f>SUMIFS('内容台账'!$J$5:$J$34,'内容台账'!$A$5:$A$34,"&gt;="&amp;B6,'内容台账'!$A$5:$A$34,"&lt;="&amp;C6)</x:f>
        <x:v>0</x:v>
      </x:c>
      <x:c r="H6" s="255" t="n">
        <x:f>IFERROR((SUMIFS('内容台账'!$N$5:$N$34,'内容台账'!$A$5:$A$34,"&gt;="&amp;B6,'内容台账'!$A$5:$A$34,"&lt;="&amp;C6)+SUMIFS('内容台账'!$O$5:$O$34,'内容台账'!$A$5:$A$34,"&gt;="&amp;B6,'内容台账'!$A$5:$A$34,"&lt;="&amp;C6)+SUMIFS('内容台账'!$P$5:$P$34,'内容台账'!$A$5:$A$34,"&gt;="&amp;B6,'内容台账'!$A$5:$A$34,"&lt;="&amp;C6)+SUMIFS('内容台账'!$Q$5:$Q$34,'内容台账'!$A$5:$A$34,"&gt;="&amp;B6,'内容台账'!$A$5:$A$34,"&lt;="&amp;C6))/G6,0)</x:f>
        <x:v>0</x:v>
      </x:c>
      <x:c r="I6" s="257" t="str"/>
      <x:c r="J6" s="257" t="str"/>
      <x:c r="K6" s="257" t="str"/>
      <x:c r="L6" s="257" t="str"/>
      <x:c r="M6" s="257" t="str"/>
      <x:c r="N6" s="257" t="str"/>
    </x:row>
    <x:row r="7" ht="48" customHeight="1">
      <x:c r="A7" s="234" t="n">
        <x:v>3</x:v>
      </x:c>
      <x:c r="B7" s="233" t="n">
        <x:v>46232</x:v>
      </x:c>
      <x:c r="C7" s="233" t="n">
        <x:v>46238</x:v>
      </x:c>
      <x:c r="D7" s="234" t="n">
        <x:f>COUNTIFS('内容台账'!$A$5:$A$34,"&gt;="&amp;B7,'内容台账'!$A$5:$A$34,"&lt;="&amp;C7,'内容台账'!$S$5:$S$34,"已发布")</x:f>
        <x:v>0</x:v>
      </x:c>
      <x:c r="E7" s="255" t="n">
        <x:f>IFERROR(AVERAGEIFS('内容台账'!$K$5:$K$34,'内容台账'!$A$5:$A$34,"&gt;="&amp;B7,'内容台账'!$A$5:$A$34,"&lt;="&amp;C7,'内容台账'!$S$5:$S$34,"已发布"),0)</x:f>
        <x:v>0</x:v>
      </x:c>
      <x:c r="F7" s="255" t="n">
        <x:f>IFERROR(AVERAGEIFS('内容台账'!$M$5:$M$34,'内容台账'!$A$5:$A$34,"&gt;="&amp;B7,'内容台账'!$A$5:$A$34,"&lt;="&amp;C7,'内容台账'!$S$5:$S$34,"已发布"),0)</x:f>
        <x:v>0</x:v>
      </x:c>
      <x:c r="G7" s="256" t="n">
        <x:f>SUMIFS('内容台账'!$J$5:$J$34,'内容台账'!$A$5:$A$34,"&gt;="&amp;B7,'内容台账'!$A$5:$A$34,"&lt;="&amp;C7)</x:f>
        <x:v>0</x:v>
      </x:c>
      <x:c r="H7" s="255" t="n">
        <x:f>IFERROR((SUMIFS('内容台账'!$N$5:$N$34,'内容台账'!$A$5:$A$34,"&gt;="&amp;B7,'内容台账'!$A$5:$A$34,"&lt;="&amp;C7)+SUMIFS('内容台账'!$O$5:$O$34,'内容台账'!$A$5:$A$34,"&gt;="&amp;B7,'内容台账'!$A$5:$A$34,"&lt;="&amp;C7)+SUMIFS('内容台账'!$P$5:$P$34,'内容台账'!$A$5:$A$34,"&gt;="&amp;B7,'内容台账'!$A$5:$A$34,"&lt;="&amp;C7)+SUMIFS('内容台账'!$Q$5:$Q$34,'内容台账'!$A$5:$A$34,"&gt;="&amp;B7,'内容台账'!$A$5:$A$34,"&lt;="&amp;C7))/G7,0)</x:f>
        <x:v>0</x:v>
      </x:c>
      <x:c r="I7" s="257" t="str"/>
      <x:c r="J7" s="257" t="str"/>
      <x:c r="K7" s="257" t="str"/>
      <x:c r="L7" s="257" t="str"/>
      <x:c r="M7" s="257" t="str"/>
      <x:c r="N7" s="257" t="str"/>
    </x:row>
    <x:row r="8" ht="48" customHeight="1">
      <x:c r="A8" s="234" t="n">
        <x:v>4</x:v>
      </x:c>
      <x:c r="B8" s="233" t="n">
        <x:v>46239</x:v>
      </x:c>
      <x:c r="C8" s="233" t="n">
        <x:v>46245</x:v>
      </x:c>
      <x:c r="D8" s="234" t="n">
        <x:f>COUNTIFS('内容台账'!$A$5:$A$34,"&gt;="&amp;B8,'内容台账'!$A$5:$A$34,"&lt;="&amp;C8,'内容台账'!$S$5:$S$34,"已发布")</x:f>
        <x:v>0</x:v>
      </x:c>
      <x:c r="E8" s="255" t="n">
        <x:f>IFERROR(AVERAGEIFS('内容台账'!$K$5:$K$34,'内容台账'!$A$5:$A$34,"&gt;="&amp;B8,'内容台账'!$A$5:$A$34,"&lt;="&amp;C8,'内容台账'!$S$5:$S$34,"已发布"),0)</x:f>
        <x:v>0</x:v>
      </x:c>
      <x:c r="F8" s="255" t="n">
        <x:f>IFERROR(AVERAGEIFS('内容台账'!$M$5:$M$34,'内容台账'!$A$5:$A$34,"&gt;="&amp;B8,'内容台账'!$A$5:$A$34,"&lt;="&amp;C8,'内容台账'!$S$5:$S$34,"已发布"),0)</x:f>
        <x:v>0</x:v>
      </x:c>
      <x:c r="G8" s="256" t="n">
        <x:f>SUMIFS('内容台账'!$J$5:$J$34,'内容台账'!$A$5:$A$34,"&gt;="&amp;B8,'内容台账'!$A$5:$A$34,"&lt;="&amp;C8)</x:f>
        <x:v>0</x:v>
      </x:c>
      <x:c r="H8" s="255" t="n">
        <x:f>IFERROR((SUMIFS('内容台账'!$N$5:$N$34,'内容台账'!$A$5:$A$34,"&gt;="&amp;B8,'内容台账'!$A$5:$A$34,"&lt;="&amp;C8)+SUMIFS('内容台账'!$O$5:$O$34,'内容台账'!$A$5:$A$34,"&gt;="&amp;B8,'内容台账'!$A$5:$A$34,"&lt;="&amp;C8)+SUMIFS('内容台账'!$P$5:$P$34,'内容台账'!$A$5:$A$34,"&gt;="&amp;B8,'内容台账'!$A$5:$A$34,"&lt;="&amp;C8)+SUMIFS('内容台账'!$Q$5:$Q$34,'内容台账'!$A$5:$A$34,"&gt;="&amp;B8,'内容台账'!$A$5:$A$34,"&lt;="&amp;C8))/G8,0)</x:f>
        <x:v>0</x:v>
      </x:c>
      <x:c r="I8" s="257" t="str"/>
      <x:c r="J8" s="257" t="str"/>
      <x:c r="K8" s="257" t="str"/>
      <x:c r="L8" s="257" t="str"/>
      <x:c r="M8" s="257" t="str"/>
      <x:c r="N8" s="257" t="str"/>
    </x:row>
    <x:row r="9" ht="48" customHeight="1">
      <x:c r="A9" s="234" t="n">
        <x:v>5</x:v>
      </x:c>
      <x:c r="B9" s="233" t="n">
        <x:v>46246</x:v>
      </x:c>
      <x:c r="C9" s="233" t="n">
        <x:v>46252</x:v>
      </x:c>
      <x:c r="D9" s="234" t="n">
        <x:f>COUNTIFS('内容台账'!$A$5:$A$34,"&gt;="&amp;B9,'内容台账'!$A$5:$A$34,"&lt;="&amp;C9,'内容台账'!$S$5:$S$34,"已发布")</x:f>
        <x:v>0</x:v>
      </x:c>
      <x:c r="E9" s="255" t="n">
        <x:f>IFERROR(AVERAGEIFS('内容台账'!$K$5:$K$34,'内容台账'!$A$5:$A$34,"&gt;="&amp;B9,'内容台账'!$A$5:$A$34,"&lt;="&amp;C9,'内容台账'!$S$5:$S$34,"已发布"),0)</x:f>
        <x:v>0</x:v>
      </x:c>
      <x:c r="F9" s="255" t="n">
        <x:f>IFERROR(AVERAGEIFS('内容台账'!$M$5:$M$34,'内容台账'!$A$5:$A$34,"&gt;="&amp;B9,'内容台账'!$A$5:$A$34,"&lt;="&amp;C9,'内容台账'!$S$5:$S$34,"已发布"),0)</x:f>
        <x:v>0</x:v>
      </x:c>
      <x:c r="G9" s="256" t="n">
        <x:f>SUMIFS('内容台账'!$J$5:$J$34,'内容台账'!$A$5:$A$34,"&gt;="&amp;B9,'内容台账'!$A$5:$A$34,"&lt;="&amp;C9)</x:f>
        <x:v>0</x:v>
      </x:c>
      <x:c r="H9" s="255" t="n">
        <x:f>IFERROR((SUMIFS('内容台账'!$N$5:$N$34,'内容台账'!$A$5:$A$34,"&gt;="&amp;B9,'内容台账'!$A$5:$A$34,"&lt;="&amp;C9)+SUMIFS('内容台账'!$O$5:$O$34,'内容台账'!$A$5:$A$34,"&gt;="&amp;B9,'内容台账'!$A$5:$A$34,"&lt;="&amp;C9)+SUMIFS('内容台账'!$P$5:$P$34,'内容台账'!$A$5:$A$34,"&gt;="&amp;B9,'内容台账'!$A$5:$A$34,"&lt;="&amp;C9)+SUMIFS('内容台账'!$Q$5:$Q$34,'内容台账'!$A$5:$A$34,"&gt;="&amp;B9,'内容台账'!$A$5:$A$34,"&lt;="&amp;C9))/G9,0)</x:f>
        <x:v>0</x:v>
      </x:c>
      <x:c r="I9" s="257" t="str"/>
      <x:c r="J9" s="257" t="str"/>
      <x:c r="K9" s="257" t="str"/>
      <x:c r="L9" s="257" t="str"/>
      <x:c r="M9" s="257" t="str"/>
      <x:c r="N9" s="257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407b57ea6da48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30" hidden="0" customWidth="1"/>
    <x:col min="4" max="4" width="34" hidden="0" customWidth="1"/>
    <x:col min="5" max="5" width="34" hidden="0" customWidth="1"/>
  </x:cols>
  <x:sheetData>
    <x:row r="1" ht="34" customHeight="1">
      <x:c r="A1" s="221" t="str">
        <x:v>选题评分规则与风险门槛</x:v>
      </x:c>
      <x:c r="B1" s="221" t="str">
        <x:v>选题评分规则与风险门槛</x:v>
      </x:c>
      <x:c r="C1" s="221" t="str">
        <x:v>选题评分规则与风险门槛</x:v>
      </x:c>
      <x:c r="D1" s="221" t="str">
        <x:v>选题评分规则与风险门槛</x:v>
      </x:c>
      <x:c r="E1" s="221" t="str">
        <x:v>选题评分规则与风险门槛</x:v>
      </x:c>
    </x:row>
    <x:row r="2">
      <x:c r="A2" s="223"/>
      <x:c r="B2" s="223"/>
      <x:c r="C2" s="223"/>
      <x:c r="D2" s="223"/>
      <x:c r="E2" s="223"/>
    </x:row>
    <x:row r="3" ht="34" customHeight="1">
      <x:c r="A3" s="224" t="str">
        <x:v>维度</x:v>
      </x:c>
      <x:c r="B3" s="225" t="str">
        <x:v>权重</x:v>
      </x:c>
      <x:c r="C3" s="225" t="str">
        <x:v>1—3分</x:v>
      </x:c>
      <x:c r="D3" s="225" t="str">
        <x:v>4—7分</x:v>
      </x:c>
      <x:c r="E3" s="226" t="str">
        <x:v>8—10分</x:v>
      </x:c>
    </x:row>
    <x:row r="4" ht="42" customHeight="1">
      <x:c r="A4" s="271" t="str">
        <x:v>时效性</x:v>
      </x:c>
      <x:c r="B4" s="229" t="n">
        <x:v>15</x:v>
      </x:c>
      <x:c r="C4" s="228" t="str">
        <x:v>超过48小时或无新进展</x:v>
      </x:c>
      <x:c r="D4" s="228" t="str">
        <x:v>48小时内但热度一般</x:v>
      </x:c>
      <x:c r="E4" s="228" t="str">
        <x:v>24小时内且仍在上升</x:v>
      </x:c>
    </x:row>
    <x:row r="5" ht="42" customHeight="1">
      <x:c r="A5" s="272" t="str">
        <x:v>目标观众相关性</x:v>
      </x:c>
      <x:c r="B5" s="235" t="n">
        <x:v>15</x:v>
      </x:c>
      <x:c r="C5" s="234" t="str">
        <x:v>仅少数圈层关注</x:v>
      </x:c>
      <x:c r="D5" s="234" t="str">
        <x:v>部分用户有关</x:v>
      </x:c>
      <x:c r="E5" s="234" t="str">
        <x:v>直接影响钱、工作、生活或未来</x:v>
      </x:c>
    </x:row>
    <x:row r="6" ht="42" customHeight="1">
      <x:c r="A6" s="272" t="str">
        <x:v>新奇/反常识</x:v>
      </x:c>
      <x:c r="B6" s="235" t="n">
        <x:v>12</x:v>
      </x:c>
      <x:c r="C6" s="234" t="str">
        <x:v>普通复述</x:v>
      </x:c>
      <x:c r="D6" s="234" t="str">
        <x:v>有一个新信息</x:v>
      </x:c>
      <x:c r="E6" s="234" t="str">
        <x:v>结论或口径明显反常识</x:v>
      </x:c>
    </x:row>
    <x:row r="7" ht="42" customHeight="1">
      <x:c r="A7" s="272" t="str">
        <x:v>口播可讲性</x:v>
      </x:c>
      <x:c r="B7" s="235" t="n">
        <x:v>15</x:v>
      </x:c>
      <x:c r="C7" s="234" t="str">
        <x:v>背景复杂难讲</x:v>
      </x:c>
      <x:c r="D7" s="234" t="str">
        <x:v>可在90秒内讲清</x:v>
      </x:c>
      <x:c r="E7" s="234" t="str">
        <x:v>一句钩子即可立住冲突</x:v>
      </x:c>
    </x:row>
    <x:row r="8" ht="42" customHeight="1">
      <x:c r="A8" s="272" t="str">
        <x:v>观点延展空间</x:v>
      </x:c>
      <x:c r="B8" s="235" t="n">
        <x:v>13</x:v>
      </x:c>
      <x:c r="C8" s="234" t="str">
        <x:v>只能复述</x:v>
      </x:c>
      <x:c r="D8" s="234" t="str">
        <x:v>能给解释</x:v>
      </x:c>
      <x:c r="E8" s="234" t="str">
        <x:v>能给原创判断和生活关联</x:v>
      </x:c>
    </x:row>
    <x:row r="9" ht="42" customHeight="1">
      <x:c r="A9" s="272" t="str">
        <x:v>评论互动潜力</x:v>
      </x:c>
      <x:c r="B9" s="235" t="n">
        <x:v>12</x:v>
      </x:c>
      <x:c r="C9" s="234" t="str">
        <x:v>观众无话可说</x:v>
      </x:c>
      <x:c r="D9" s="234" t="str">
        <x:v>有分歧但问题泛</x:v>
      </x:c>
      <x:c r="E9" s="234" t="str">
        <x:v>观众能基于经验回答</x:v>
      </x:c>
    </x:row>
    <x:row r="10" ht="42" customHeight="1">
      <x:c r="A10" s="272" t="str">
        <x:v>信息可信度</x:v>
      </x:c>
      <x:c r="B10" s="235" t="n">
        <x:v>18</x:v>
      </x:c>
      <x:c r="C10" s="234" t="str">
        <x:v>单一匿名源</x:v>
      </x:c>
      <x:c r="D10" s="234" t="str">
        <x:v>可靠媒体但缺一手</x:v>
      </x:c>
      <x:c r="E10" s="234" t="str">
        <x:v>官方/一手 + 独立交叉核验</x:v>
      </x:c>
    </x:row>
    <x:row r="11" ht="42" customHeight="1">
      <x:c r="A11" s="272" t="str">
        <x:v>内容风险（不计正向权重）</x:v>
      </x:c>
      <x:c r="B11" s="235" t="n">
        <x:v>0</x:v>
      </x:c>
      <x:c r="C11" s="234" t="str">
        <x:v>1—3低风险</x:v>
      </x:c>
      <x:c r="D11" s="234" t="str">
        <x:v>4—5中风险</x:v>
      </x:c>
      <x:c r="E11" s="234" t="str">
        <x:v>6—10较高/高风险</x:v>
      </x:c>
    </x:row>
    <x:row r="12">
      <x:c r="A12" s="223"/>
      <x:c r="B12" s="223"/>
      <x:c r="C12" s="223"/>
      <x:c r="D12" s="223"/>
      <x:c r="E12" s="223"/>
    </x:row>
    <x:row r="13" ht="42" customHeight="1">
      <x:c r="A13" s="273" t="str">
        <x:v>公式：正向加权分 = Σ(维度分×权重)÷10；风险扣分 = max(0,风险-3)×2.5；推荐指数 = 正向加权分-风险扣分。</x:v>
      </x:c>
      <x:c r="B13" s="273"/>
      <x:c r="C13" s="273"/>
      <x:c r="D13" s="273"/>
      <x:c r="E13" s="273"/>
    </x:row>
    <x:row r="14">
      <x:c r="A14" s="223"/>
      <x:c r="B14" s="223"/>
      <x:c r="C14" s="223"/>
      <x:c r="D14" s="223"/>
      <x:c r="E14" s="223"/>
    </x:row>
    <x:row r="15">
      <x:c r="A15" s="274" t="str">
        <x:v>硬门槛</x:v>
      </x:c>
      <x:c r="B15" s="274" t="str">
        <x:v>规则</x:v>
      </x:c>
      <x:c r="C15" s="274" t="str"/>
      <x:c r="D15" s="274" t="str"/>
      <x:c r="E15" s="274" t="str"/>
    </x:row>
    <x:row r="16">
      <x:c r="A16" s="275" t="str">
        <x:v>主选题</x:v>
      </x:c>
      <x:c r="B16" s="276" t="str">
        <x:v>可信度≥8、可讲性≥8、关键事实至少2个来源</x:v>
      </x:c>
      <x:c r="C16" s="276" t="str"/>
      <x:c r="D16" s="276" t="str"/>
      <x:c r="E16" s="276" t="str"/>
    </x:row>
    <x:row r="17">
      <x:c r="A17" s="275" t="str">
        <x:v>风险6—7</x:v>
      </x:c>
      <x:c r="B17" s="276" t="str">
        <x:v>通常只做备选，必须人工审核</x:v>
      </x:c>
      <x:c r="C17" s="276" t="str"/>
      <x:c r="D17" s="276" t="str"/>
      <x:c r="E17" s="276" t="str"/>
    </x:row>
    <x:row r="18">
      <x:c r="A18" s="275" t="str">
        <x:v>风险8—10</x:v>
      </x:c>
      <x:c r="B18" s="276" t="str">
        <x:v>默认不做，除非有强公共价值和充分一手证据</x:v>
      </x:c>
      <x:c r="C18" s="276" t="str"/>
      <x:c r="D18" s="276" t="str"/>
      <x:c r="E18" s="276" t="str"/>
    </x:row>
  </x:sheetData>
  <x:mergeCells>
    <x:mergeCell ref="A1:E1"/>
    <x:mergeCell ref="A13:E13"/>
    <x:mergeCell ref="B16:E16"/>
    <x:mergeCell ref="B17:E17"/>
    <x:mergeCell ref="B18:E18"/>
  </x:mergeCells>
  <x:pageMargins left="0.7" right="0.7" top="0.75" bottom="0.75" header="0.3" footer="0.3"/>
</x:worksheet>
</file>